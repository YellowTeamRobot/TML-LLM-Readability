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<sst xmlns="http://schemas.openxmlformats.org/spreadsheetml/2006/main" count="161" uniqueCount="161">
  <si>
    <t>ID</t>
  </si>
  <si>
    <t>Book</t>
  </si>
  <si>
    <t xml:space="preserve">Qualitative 
Grade Level</t>
  </si>
  <si>
    <t xml:space="preserve">Run 1</t>
  </si>
  <si>
    <t xml:space="preserve">Run 2</t>
  </si>
  <si>
    <t xml:space="preserve">Run 3</t>
  </si>
  <si>
    <t xml:space="preserve">Run 4</t>
  </si>
  <si>
    <t xml:space="preserve">Run 5</t>
  </si>
  <si>
    <t xml:space="preserve">Average LLM Assigned
Grade Level</t>
  </si>
  <si>
    <t xml:space="preserve">Flesch-Kincaid
Grade Level</t>
  </si>
  <si>
    <t xml:space="preserve">Automated Readability Index</t>
  </si>
  <si>
    <t>SMOG</t>
  </si>
  <si>
    <t xml:space="preserve">LLM PromptV2 - Explanation</t>
  </si>
  <si>
    <t xml:space="preserve">LLM PromptV2 - Grade Level</t>
  </si>
  <si>
    <t xml:space="preserve">The Great Gatsby</t>
  </si>
  <si>
    <t xml:space="preserve">To Kill a Mockingbird</t>
  </si>
  <si>
    <t xml:space="preserve">Les Miserables</t>
  </si>
  <si>
    <t xml:space="preserve">Guardians of Ga'Hoole</t>
  </si>
  <si>
    <t xml:space="preserve">Romeo and Juliet</t>
  </si>
  <si>
    <t>Hamlet</t>
  </si>
  <si>
    <t xml:space="preserve">Esperanza Rising</t>
  </si>
  <si>
    <t xml:space="preserve">Twelfth Night</t>
  </si>
  <si>
    <t xml:space="preserve">A Bad Case of Stripes</t>
  </si>
  <si>
    <t>Wonder</t>
  </si>
  <si>
    <t xml:space="preserve">The Hero Two Doors Down</t>
  </si>
  <si>
    <t>Hatchet</t>
  </si>
  <si>
    <t xml:space="preserve">Mean Absolute 
Error</t>
  </si>
  <si>
    <t xml:space="preserve">Mean Error 
(Bias)</t>
  </si>
  <si>
    <t xml:space="preserve">Root Mean
Squared Error</t>
  </si>
  <si>
    <t xml:space="preserve">Standard
Deviation of errors</t>
  </si>
  <si>
    <t xml:space="preserve">Pearson
Correlation</t>
  </si>
  <si>
    <t>Q1</t>
  </si>
  <si>
    <t xml:space="preserve">The passage uses a range of descriptive adjectives, specific architectural terms, and a mix of compound and complex sentence structures that are typical of upper‑secondary or early college reading. Vocabulary such as “Georgian Colonial,” “sundials,” and “brick walks” signals a more advanced lexicon, while the narrative’s descriptive focus and indirect description demand higher level comprehension skills. The length of the sentences and the subtle shifts in perspective also contribute to a reading difficulty that surpasses a basic middle‑school level. Overall, this excerpt is best suited for students in the 11th‑12th grade or early college coursework.</t>
  </si>
  <si>
    <t xml:space="preserve">Qualitative Grade Level</t>
  </si>
  <si>
    <t>Q2</t>
  </si>
  <si>
    <t xml:space="preserve">The passage employs a number of uncommon or literary words—such as *hauteur*, *affect*, and *pivot*—and constructs several long, descriptive sentences with multiple clauses. The imagery is sophisticated, and the narrative voice is reflective and somewhat poetic. These characteristics are typical of high‑school senior or early college reading material, which usually requires a strong vocabulary and ability to parse complex syntax.</t>
  </si>
  <si>
    <t xml:space="preserve">Mean LLM Grade Level</t>
  </si>
  <si>
    <t>Q3</t>
  </si>
  <si>
    <t xml:space="preserve">The passage uses moderately complex sentence structures and some less common vocabulary such as “souvenirs” and “nobody.”  The narrative voice and the use of descriptive clauses (“pocketing his souvenirs with satisfaction”) raise the reading level slightly above middle‑school.  Overall, it aligns with the comprehension abilities of a late‑middle‑school or early‑high‑school reader, roughly corresponding to a 9th‑grade reading level.</t>
  </si>
  <si>
    <t xml:space="preserve">Mean LLM (V2) Grade Level</t>
  </si>
  <si>
    <t>-</t>
  </si>
  <si>
    <t>Q4</t>
  </si>
  <si>
    <t xml:space="preserve">The passage employs a high density of literary diction—terms such as “grotesque,” “fantastical conceits,” “ineffable gaudiness,” and “fairy’s wing”—which are rarely encountered until college‑level literature courses. Its syntax is also complex, with multiple clauses and enjambed phrases that require careful parsing. The figurative imagery and philosophical musings about reality versus unreality demand a mature critical reading skill set typical of upper‑secondary or early‑college students. Accordingly, this excerpt would be best suited for readers in the 14th‑grade level or beyond.</t>
  </si>
  <si>
    <t xml:space="preserve">Corrected LLM Grade Level (Naive)</t>
  </si>
  <si>
    <t>Q5</t>
  </si>
  <si>
    <t xml:space="preserve">The passage contains a number of longer, compound sentences and a few higher‑frequency words that are typically introduced in middle to early high‑school curricula—such as “communicated,” “profoundly,” and “tranquil.” The imagery and figurative language are relatively straightforward, but the vocabulary choices and sentence structure suggest it is best understood by readers who have a solid grasp of the English language, roughly equivalent to ninth or tenth graders.</t>
  </si>
  <si>
    <t xml:space="preserve">Mean Flesch-Kincaid Grade Level</t>
  </si>
  <si>
    <t>Q6</t>
  </si>
  <si>
    <t xml:space="preserve">Thinking...
We need to analyze the text excerpt difficulty and assign a grade level 1-12, possibly 13-18. This looks like a somewhat literary text reminiscent of "To Kill a Mockingbird" with a rural Southern setting, references to Maycomb, Radley Place, etc. It uses some archaic or sophisticated vocabulary ("malevolent phantom," "peeped," "mutilated," "initial suspicions," "unwilling to discard," "adjoined," "pecan trees shook their fruit," etc). The language is fairly complex, but not overly advanced. Likely high school-level. Maybe 10-12 grade.
We need to provide a few sentences of explanation, then separator line "</t>
  </si>
  <si>
    <t xml:space="preserve">Mean ARI (Grade Level)</t>
  </si>
  <si>
    <t>Q7</t>
  </si>
  <si>
    <t xml:space="preserve">The passage uses a mix of dense figurative language, academic terminology, and extended sentences that demand careful parsing. Words such as “auspicious,” “Group Dynamics,” “Dewey Decimal System,” and “tutorial system” are not typically encountered until later secondary‑school years. The narrator also employs multi‑clause sentences that weave several ideas together, which is characteristic of advanced prose. Overall, the text’s lexical variety and syntactic complexity align best with a high‑school senior or early college reading level.</t>
  </si>
  <si>
    <t xml:space="preserve">Mean SMOG (Grade Level)</t>
  </si>
  <si>
    <t>Q8</t>
  </si>
  <si>
    <t xml:space="preserve">Thinking...
We need to assess reading level difficulty. The text is somewhat complex with advanced vocabulary, multiple clauses, some archaic style. Let's estimate. Likely around 9-10th grade? It includes words like "muddles", "evasion", "mood", "Scout" as a name. It seems a bit advanced for 7th grade. Maybe 9th grade reading level.
We can compute Flesch reading ease approximate. But it's okay.
Thus explanation: about 9th grade.
We'll produce: Explanation...</t>
  </si>
  <si>
    <t>Q9</t>
  </si>
  <si>
    <t xml:space="preserve">The passage uses sophisticated legal jargon (“contempt charges,” “confines of Christian English usage”), long, multi-clause sentences, and a formal courtroom tone that is uncommon in everyday speech. The vocabulary includes words that are typically introduced in high‑school years 11–12 and some that are more often encountered in introductory college courses. Additionally, the syntactic structure requires careful parsing and a good grasp of legal context, which aligns with the reading abilities of early‑college students.</t>
  </si>
  <si>
    <t>Q10</t>
  </si>
  <si>
    <t xml:space="preserve">The passage uses a mix of conversational dialogue and archaic or dialectal terms (e.g., “sulky darky,” “Miz,” “Sophy”). The sentence structure is fairly complex, with several subordinate clauses and long, run‑on sentences. While the vocabulary itself isn’t extremely advanced, the combination of older idioms, informal speech, and the overall syntactic density suggests it is comfortably beyond middle‑school reading and would be more appropriate for early high‑school students. A typical 9th‑grade level (freshman year) would be suitable for comprehending and analyzing this excerpt.</t>
  </si>
  <si>
    <t>Q21</t>
  </si>
  <si>
    <t xml:space="preserve">The passage employs a sophisticated register with a mix of archaic and highly descriptive diction (“exaggerating,” “irremediably,” “abnegation,” “Styx,” etc.) and long, complex sentence structures that require close attention to maintain coherence. The vocabulary and references (e.g., “Spartans,” “Brutus in Vidocq”) presuppose a broader cultural knowledge typically cultivated during undergraduate studies. Accordingly, a reader would need a level of linguistic proficiency and contextual background beyond the high‑school curriculum, placing this text comfortably in the college‑level range.</t>
  </si>
  <si>
    <t>Q22</t>
  </si>
  <si>
    <t xml:space="preserve">The passage uses a number of archaic and figurative expressions such as “blackguard,” “bandit’s phiz,” and “galleys,” which are not common in contemporary everyday language. The sentence structure is long and contains multiple clauses, requiring the reader to parse complex syntactic relationships. The vocabulary and historical references would be familiar mainly to students who have studied literature or history at the high‑school level and beyond. Therefore, the text is best suited for an early college or advanced high‑school audience.</t>
  </si>
  <si>
    <t>Q23</t>
  </si>
  <si>
    <t xml:space="preserve">The passage uses a mix of standard modern English and a few archaic or less common terms such as “quitted,” “assizes,” and “mail‑wagon.” Sentence length is moderate, with compound sentences but no very complex subordination. The vocabulary level is somewhat above basic conversational English, but it does not require specialized knowledge or advanced technical terms. In a U.S. school setting, a high‑school sophomore (Grade 10) should comfortably understand and analyze this text, though a junior or senior might find it easier.</t>
  </si>
  <si>
    <t>Q24</t>
  </si>
  <si>
    <t xml:space="preserve">The passage contains long, complex sentences with multiple clauses and a formal, somewhat archaic style. Words such as “tolerably,” “masculine footstep,” “frock‑coat,” and the reference to Jean Valjean and Javert signal a literary context that assumes some prior knowledge. The syntax is intricate, and the vocabulary is above average for everyday conversation. These factors typically place the text at a high‑school level, roughly 11th or 12th grade in the U.S. curriculum.</t>
  </si>
  <si>
    <t>Q25</t>
  </si>
  <si>
    <t xml:space="preserve">The passage employs a dense, figurative style that goes beyond straightforward narrative. It uses several advanced linguistic constructions such as “the swell of the two half‑columns,” “delicate situation,” and a mix of direct description with metaphor (“the field of battle,” “near view of this volcano”). The vocabulary and sentence structure demand a mature understanding of context and inference. Such text is typically encountered in upper‑level high‑school literature courses or introductory college composition, where students are expected to analyze complex prose and interpret nuanced language.</t>
  </si>
  <si>
    <t>Q26</t>
  </si>
  <si>
    <t xml:space="preserve">Guardians of Ga'Hoole b4</t>
  </si>
  <si>
    <t xml:space="preserve">The passage uses mostly simple, concrete vocabulary, but it also includes a few more advanced terms such as “sycamore,” “species,” “helpless,” and “power takeoff.” The syntax is straightforward, with short sentences and clear subject‑verb‑object construction, which helps younger readers follow the action. The overall style and word choice are typical of middle‑school nonfiction, where students are beginning to encounter more specific terminology about animals and ecology. Therefore, this excerpt aligns best with a 7th‑to‑8th‑grade reading level, which is about 12–13 years old.</t>
  </si>
  <si>
    <t>Q27</t>
  </si>
  <si>
    <t xml:space="preserve">Thinking...
We need to assess the difficulty of the text excerpt. The text is somewhat archaic or advanced: names like Digger, Otulissa, Ezylryb, mention of Devil's Triangle, knowledge. The language uses some uncommon words like "awful" meaning maybe "bad", but overall it's simple sentences but with names. However the text uses "considering a problem" etc. It's not too complex. Probably grade 8-10? The vocabulary: "awkward", "knowledge", "Devil's Triangle". "Otulissa" might be a proper noun, not typical. The writing is short. I'd say around 9th grade. Provide explanation, then separator, then "Grade Level: 9". Ensure format exactly as required: Explanation sentences, separator line "</t>
  </si>
  <si>
    <t>Q28</t>
  </si>
  <si>
    <t xml:space="preserve">The passage uses fairly simple sentence structure, but it includes a number of less common words and poetic imagery that can challenge younger readers. Words such as “enviously,” “hollowmates,” “wing pluckings,” and “moon scaldings” are not part of everyday high‑school vocabulary, and the figurative similes (“smooth as summer air”) require a degree of interpretive reading. The subject matter—mythical animals and an ancient saga—also suggests a level suitable for readers who are comfortable with imaginative and slightly archaic references, which typically aligns with middle‑school literature. Overall, the text is best suited for a 7th‑grade reading level (about a 12–13 year old).</t>
  </si>
  <si>
    <t>Q29</t>
  </si>
  <si>
    <t xml:space="preserve">Guardians of Ga'Hoole b6</t>
  </si>
  <si>
    <t xml:space="preserve">The passage uses mostly everyday language, but it includes a few slightly more advanced or context‑specific words such as “scampered,” “customary,” “tang,” and the proper noun “Ursa.” Sentence structures are simple, and the story is short and straightforward, requiring only basic comprehension of narrative flow. Overall, the vocabulary and syntax align with what is typically taught around the middle‑school years.</t>
  </si>
  <si>
    <t>Q30</t>
  </si>
  <si>
    <t xml:space="preserve">The passage contains several uncommon or specialized words such as *promontory*, *briny*, *tangled passageways*, and *hagsfiends*, which are not typically encountered until later high‑school vocabulary lists. The sentences are compound and occasionally long, requiring readers to parse multiple clauses and understand figurative references (e.g., “oil‑less feathers” and “nearly always drowned instantly”). The thematic content—ancient shortcuts, mythical creatures, and environmental hazards—also introduces abstract ideas that go beyond everyday high‑school material. Overall, this excerpt is best matched to a senior‑year high‑school level, where students are expected to handle complex sentence structures and advanced vocabulary.</t>
  </si>
  <si>
    <t>Q31</t>
  </si>
  <si>
    <t xml:space="preserve">The passage is an early Act of Shakespeare’s *Romeo and Juliet* and contains a high density of archaic diction (“fateful,” “star‑cross’d,” “misadventur’d”), convoluted sentence structures, and poetic phrasing that is not found in modern prose.  Even for high‑school students, comprehending the nuanced meanings requires prior exposure to Shakespearean language, and most instructors reserve such material for 11th‑ or 12th‑grade literature courses—or even introductory college literature classes.  Accordingly, the text would best be classified as a college‑level reading passage, suitable for students beginning university studies in English literature or advanced high‑school literature courses.</t>
  </si>
  <si>
    <t>Q32</t>
  </si>
  <si>
    <t xml:space="preserve">The passage employs archaic spellings (“worshipp’d,” “Peer’d”), unusual syntactic constructions, and poetic diction that are typical of 19th‑century literature rather than contemporary prose. The narrative is dense with metaphor (“golden window of the east,” “covert of the wood”) and the syntax often includes inverted order and omitted subjects, which can impede immediate comprehension. While a high‑school senior could read it with effort, it would usually be reserved for advanced literary studies or first‑year college English courses that focus on historical texts.</t>
  </si>
  <si>
    <t>Q33</t>
  </si>
  <si>
    <t xml:space="preserve">The passage uses archaic diction (“gentle coz,” “verona brags”), complex sentence structures, and an unfamiliar syntactic order that can be confusing for students. The vocabulary and grammatical patterns resemble early modern English rather than contemporary prose, making it approachable only for advanced high‑school readers or college students familiar with Shakespearean or Renaissance English. Consequently, the text would be best understood at the senior high‑school or early undergraduate level.</t>
  </si>
  <si>
    <t>Q34</t>
  </si>
  <si>
    <t xml:space="preserve">The excerpt uses a highly archaic, poetic style with complex syntax, extensive metaphor, and a wide range of advanced vocabulary. Readers must recognize many archaic words (e.g., “Phoebus,” “unmann’d,” “sober-suited”), follow long, interrupted sentences, and understand allusions to classical mythology and romantic tropes. The figurative language is dense, requiring careful analysis of metaphor and imagery. This level of linguistic complexity and literary sophistication is typical of undergraduate literature courses rather than middle or high school curricula.</t>
  </si>
  <si>
    <t>Q35</t>
  </si>
  <si>
    <t xml:space="preserve">The passage is written in archaic, poetic English that uses uncommon vocabulary (“unaccustom’d,” “reviv’d”), dense metaphor, and complex sentence structures. These features typically require a mature understanding of historical language and literary analysis, skills that most students develop in advanced high‑school literature or college courses. Consequently, the text would be most comfortably understood at a college‑level reading grade, roughly equivalent to a 16‑year‑old or beyond.</t>
  </si>
  <si>
    <t>Q36</t>
  </si>
  <si>
    <t xml:space="preserve">Thinking...
We need to assign US school grade level. The excerpt is from some 17th century text? It's archaic language. Words like "so nightly toils the subject of the land", "sore task", "joint-labourer" etc. So likely college-level. Need to give explanation. The prompt: Provide explanation then</t>
  </si>
  <si>
    <t>Q37</t>
  </si>
  <si>
    <t xml:space="preserve">The passage is written in an archaic, highly figurative style with complex, multi‑clausal sentences and specialized vocabulary (“Videlicet,” “windlasses,” “assays of bias”). The syntax is dense, with many subordinate clauses and parenthetical digressions that require careful parsing. The diction and rhetorical flourishes would be unfamiliar to most students and would typically be encountered in college‑level literature or advanced high‑school courses.</t>
  </si>
  <si>
    <t>Q38</t>
  </si>
  <si>
    <t xml:space="preserve">Thinking...
We need to assess difficulty of text. The excerpt is archaic English, uses complex sentence structures, rare words, old spellings: 'noyance', 'weal', 'cease', 'massy', 'mortis’d', 'boist’rous', etc. It likely is above college level. The readability for typical readers is high. It would be around 14-16 grade level (college freshman to sophomore). So answer: Explanation, separator, 'Grade Level: 16'.
But we need "strictly as {Explanation}</t>
  </si>
  <si>
    <t>Q39</t>
  </si>
  <si>
    <t xml:space="preserve">Thinking...
We need to assign US school grade level (1-12) or 13-18 for college. The excerpt appears to be from Shakespeare or a high-level poetry; but let's analyze reading level.
The passage uses archaic words like "unsinew'd", "conjunctive", "soul", "star moves not but in his sphere", "gyves to graces", "loud a wind" etc. The syntax is archaic, metaphorical, many phrases. This is quite complex; likely college level. The language is old, not modern. It seems like a poetic excerpt from Shakespeare maybe "The Tempest"? Actually the line "Why to a public count I might not go, Is the great love the general gender bear him" - not sure.
The complexity: many uncommon words, archaic forms; requires knowledge of Shakespearean English. It could be at least Grade 13-18 (college). So I'd assign 15 maybe? But the question: "I would like you to give a few sentences of explanation for your choice, followed by a separator line with three dashes (</t>
  </si>
  <si>
    <t>Q40</t>
  </si>
  <si>
    <t xml:space="preserve">The passage is written in archaic, Shakespearean‑style diction and features a highly convoluted sentence structure. Words such as “kill’d,” “cozenage,” and the inverted phrasing “thinks’t thee” are not found in modern prose. The syntax requires the reader to parse nested clauses and understand historical usage, which is typical of literature studied at the beginning of a college curriculum. Consequently, this text would be considered appropriate for a college‑level reading group rather than any K‑12 class.</t>
  </si>
  <si>
    <t>Q41</t>
  </si>
  <si>
    <t xml:space="preserve">The passage uses a mix of descriptive language and longer compound sentences that go beyond simple elementary vocabulary. Words like “scythe,” “snugly,” “pride,” “glory,” “eldest,” and “wealthy” introduce concepts that high‑school students are expected to understand. The sentence structures, with multiple clauses and a moderate length, require a solid grasp of syntax typical of late middle or early high‑school readers. These features point to a U.S. reading level around the 9th‑10th grades.</t>
  </si>
  <si>
    <t>Q42</t>
  </si>
  <si>
    <t xml:space="preserve">The passage uses mostly common, everyday vocabulary and straightforward sentence structures. Words like “wagon,” “nuns,” and “blanket” are familiar to middle‑school readers, while the narrative pace and lack of complex clauses keep the cognitive load low. The overall lexical density and syntax correspond roughly to a 5th‑grade reading level, suitable for children around ages 10–11 who can handle simple descriptive prose with mild cultural references.</t>
  </si>
  <si>
    <t>Q43</t>
  </si>
  <si>
    <t xml:space="preserve">The passage uses a mix of everyday dialogue and more descriptive, literary language—words like “groggily,” “campesino,” and “delicate” hint at a slightly elevated vocabulary. Sentence structures are mostly straightforward but occasionally complex, and the narrator includes sensory detail and subtle comparisons. Overall, it reads comfortably for students who have moved beyond basic literal comprehension and can handle more nuanced, descriptive prose, which aligns with a typical 10th‑grade reading level.</t>
  </si>
  <si>
    <t>Q44</t>
  </si>
  <si>
    <t xml:space="preserve">The passage contains several compound sentences with multiple clauses, which adds syntactic complexity. The vocabulary is fairly concrete and descriptive—words like “grapes,” “rains,” “buses,” “cabin,” “milk,” and “laundry” are familiar to middle‑school readers—but there are also less common terms such as “vacuum” and the inserted Spanish word “rápido.” The overall structure and the mix of English and Spanish suggest a reading level that is comfortably within the range of upper‑middle school students, around the 9th‑grade level. The narrative flow and sensory details are engaging but not overly advanced, making it a good fit for a 14‑year‑old learner.</t>
  </si>
  <si>
    <t>Q45</t>
  </si>
  <si>
    <t xml:space="preserve">Thinking...
We need to assess US school grade level difficulty for the given text. The text is about Esperanza, with Spanish names, but it's in English, fairly simple sentences. Use Flesch-Kincaid grade level? Rough estimate: sentence length moderate, words mostly common. It includes some longer words: "deportations", "organize", "reorganize", "major". But overall, reading level likely middle school: 6-8. Probably grade 6-7. But some advanced words like "deportations" might push to 8th grade. The dialogue style and context suggests comprehension. I'd choose grade 7. Provide explanation.
Now produce output strictly as:
Explanation</t>
  </si>
  <si>
    <t>Q56</t>
  </si>
  <si>
    <t xml:space="preserve">The passage is replete with archaic diction (“Illyria,” “coystril,” “parish top”), obscure idioms, and Shakespearean allusions. The syntax is also irregular, with abrupt shifts and parenthetical insertions that disrupt the flow. Such characteristics demand a mature grasp of historical English usage and literary references, which typically only high‑school seniors and college freshmen possess. Therefore the excerpt is best suited for the lower college reading level.</t>
  </si>
  <si>
    <t>Q57</t>
  </si>
  <si>
    <t xml:space="preserve">The passage employs archaic diction (“tinkers,” “coziers’ catches”) and a formal, elaborate sentence structure that is uncommon in contemporary writing. Its vocabulary is advanced, and the syntax—multiple subordinate clauses and rhetorical questions—requires a mature understanding of English grammar and historical language usage. Such text would typically be introduced in a college-level literature or advanced composition course rather than in middle or high school curricula.</t>
  </si>
  <si>
    <t>Q58</t>
  </si>
  <si>
    <t xml:space="preserve">The passage uses archaic English with several old‑fashioned spellings (“begg’d”, “borrow’d”) and a poetic rhythm that is typical of Shakespearean text. The syntax is less straightforward than modern prose, and the allusion to Malvolio places the reader in a specific literary context that requires background knowledge. These features combine to make the excerpt challenging for most high‑school readers and more suitable for a freshman‑year college level, where students are expected to encounter and analyze early modern English literature.</t>
  </si>
  <si>
    <t>Q59</t>
  </si>
  <si>
    <t xml:space="preserve">The passage is written in archaic English with several obsolete words and phrases such as “thine,” “knavery,” and “upshot.” The sentence structure is complex, with embedded clauses that require careful parsing. The vocabulary is advanced and uncommon for modern readers, and the overall style resembles that of early modern English literature. This level of difficulty is appropriate for a college-level reader, typically corresponding to a U.S. grade level around 13 or higher.</t>
  </si>
  <si>
    <t>Q60</t>
  </si>
  <si>
    <t xml:space="preserve">The passage contains archaic diction (“entreat,” “hath,” “convents”) and a slightly poetic syntax that is less common in everyday prose. While the sentences are not heavily layered with subordinate clauses, the vocabulary and phrasing reflect a style found in early‑modern English literature.  Such material typically falls into the upper‑high‑school range (grades 11–12) for reading level, though it could comfortably be read by advanced high‑school students or entry‑level college freshmen.</t>
  </si>
  <si>
    <t>Q61</t>
  </si>
  <si>
    <t xml:space="preserve">The passage uses everyday vocabulary and straightforward sentence structures, with no complex clauses or academic terminology. Words like “striped,” “rainbow,” and phrases such as “look at me” are common in elementary texts. The narrative flow is simple, with short, declarative sentences that a young reader can follow without difficulty. These characteristics suggest a reading level around the middle elementary school years, roughly a 4th‑grade level.</t>
  </si>
  <si>
    <t>Q62</t>
  </si>
  <si>
    <t xml:space="preserve">The passage uses simple, everyday language and short sentences, which makes it accessible to younger readers. Most vocabulary terms such as “disaster,” “laughter,” and “stars” are common in early elementary to middle‑school curricula. The only slightly more advanced element is the mention of the “Pledge of Allegiance,” which may introduce a basic cultural reference but does not raise the overall complexity. Overall, the text is best matched to students around 10–11 years old, or roughly 5th‑grade reading level.</t>
  </si>
  <si>
    <t>Q63</t>
  </si>
  <si>
    <t xml:space="preserve">The passage uses straightforward sentence structures and common vocabulary that a middle‑school reader can comfortably understand. There are no advanced academic terms or complex grammatical constructions, and the dialogue is simple and conversational. Words like “principal,” “distraction,” “contagious,” and “embarrassed” are typical of early elementary to middle school reading lists, and the overall length of sentences and the lack of passive voice or subordinate clauses keep the text accessible. This level of language and syntax places the text at roughly a **5th‑grade** reading level.</t>
  </si>
  <si>
    <t>Q64</t>
  </si>
  <si>
    <t xml:space="preserve">The passage uses very straightforward sentence structure and common vocabulary, with no advanced literary devices or complex syntax. The narrator is simply describing a personal experience in a clear, direct way. The words “awful,” “different,” and “multicolored” are all familiar to middle‑school readers, and the overall narrative pace is fast enough that a child in the lower elementary years would comfortably understand it. For these reasons, this text would be best suited to a 5th‑grade reading level.</t>
  </si>
  <si>
    <t>Q65</t>
  </si>
  <si>
    <t xml:space="preserve">The passage uses a number of specialized terms—“psychologists,” “allergists,” “herbalists,” “nutritionists,” “psychics,” “medicine man,” “guru,” and “veterinarian”—that are not common in early elementary text.  It also contains a few longer, compound sentences and descriptive, imaginative language (“sprouted roots and berries and crystals and feathers and a long furry tail”).  While the narrative itself is straightforward, the mix of somewhat advanced vocabulary and moderately complex sentence structure typically matches the reading abilities of students around the 7th‑8th grade level, where they are comfortable with new, more specialized words but are still largely focused on narrative comprehension rather than in‑depth analysis.</t>
  </si>
  <si>
    <t>Q66</t>
  </si>
  <si>
    <t xml:space="preserve">The passage uses complex sentence structures, includes abstract discussion of family dynamics and emotional themes, and contains several words that are more common in upper‑middle school to early high‑school reading (e.g., “protecting,” “pretend,” “reality”). The narrative flow requires readers to keep track of multiple characters and their internal states, which aligns well with a 10th‑grade level of reading proficiency. The vocabulary is not overly advanced, and there are no specialized academic terms that would push the text into college‑level territory.</t>
  </si>
  <si>
    <t>Q67</t>
  </si>
  <si>
    <t xml:space="preserve">The passage uses straightforward, everyday language and simple sentence structures, with only a few moderate vocabulary words such as “outrageous” and “stressed.” The narrative is linear and personal, lacking complex syntax or abstract concepts. A typical sixth- or seventh‑grade reader would comfortably understand it, and the content aligns with topics commonly discussed in middle school classrooms.</t>
  </si>
  <si>
    <t>Q68</t>
  </si>
  <si>
    <t xml:space="preserve">The passage uses informal, conversational language and avoids complex sentence structures, which is typical of middle‑school reading. However, it introduces several specialized terms such as “syndrome,” “cleft palate,” and “plastic surgery” that are usually taught in later grades. The overall vocabulary and the presence of these medical references suggest a reading level around the 8th‑grade range.</t>
  </si>
  <si>
    <t>Q69</t>
  </si>
  <si>
    <t xml:space="preserve">The passage uses everyday conversational language and straightforward sentence structures, but it also includes some slightly complex ideas such as reflecting on safety, social judgments, and describing someone’s appearance. The vocabulary is largely basic (e.g., “safe,” “family,” “friends”), with only a few moderate-level words like “creeps” and “stupid.” The overall tone and content are suitable for middle‑school readers, roughly around seventh grade.</t>
  </si>
  <si>
    <t>Q70</t>
  </si>
  <si>
    <t xml:space="preserve">The excerpt is written in a very conversational style with straightforward sentence structures and everyday vocabulary. There are no complex clauses, advanced terminology, or abstract concepts. The language includes colloquial expressions (e.g., “phew,” “totally shredded”) and simple dialogue that a middle‑school reader would find easily understandable. Based on these characteristics, the text aligns best with a typical 6th‑grade reading level.</t>
  </si>
  <si>
    <t>Q71</t>
  </si>
  <si>
    <t xml:space="preserve">The passage uses several specific terms from baseball and American history—such as “spring training,” “cost of living,” “General Manager,” and references to Jackie Robinson and Branch Rickey—which assume background knowledge beyond elementary school. The sentences are syntactically complex, with nested clauses and longer word choices that are typical of high‑school-level reading. The narrative also deals with social and cultural topics (racial integration in sports) that are usually covered in middle‑ to high‑school curricula. Overall, the vocabulary, sentence structure, and content suggest a reading level around 10th grade.</t>
  </si>
  <si>
    <t>Q72</t>
  </si>
  <si>
    <t xml:space="preserve">The passage uses very straightforward vocabulary and simple sentence structures, with no advanced figurative language or complex grammatical constructions. The dialogue is short and direct, and the setting is described in a clear, uncomplicated way. The only slightly more sophisticated word might be “piggy bank,” but it is a common term for children. Overall, the text would comfortably be understood by a reader in the early elementary school years, around 9‑10 years old, which corresponds to a 4th‑grade reading level in the U.S. education system.</t>
  </si>
  <si>
    <t>Q73</t>
  </si>
  <si>
    <t xml:space="preserve">The passage uses very simple sentence structures and everyday vocabulary that most middle‑school readers can understand. There are no specialized terms or advanced syntactic constructions, and the content is largely conversational and descriptive. Overall, the reading difficulty aligns with the 5th‑to‑6th grade range, where students are comfortable with basic narrative and simple descriptive language.</t>
  </si>
  <si>
    <t>Q74</t>
  </si>
  <si>
    <t xml:space="preserve">Thinking...
We need to analyze the excerpt difficulty. The text is a short narrative with descriptive language. The vocabulary: "yelled", "I got it!", "rapidly descending ball", "heart pumped faster", "salty sweat", "stung", "figured", "batter", "first base", "heading toward second", "won’t get far", "mutated", "confidence", "within inches", "attacked by a bee", "stung my calf", "shooting pains", "tumbled to the ground in agony". Some basic sports terminology. The structure is simple, sentences relatively short. No advanced syntax, no specialized content. So likely around 7th or 8th grade? Maybe 8th grade? The word "agony" maybe 8th. So I'd put grade level 8.
We need to format explanation, then</t>
  </si>
  <si>
    <t>Q75</t>
  </si>
  <si>
    <t xml:space="preserve">Thinking...
We need to determine US school grade level (1-12) difficulty of this excerpt. Text has some complex sentences, abstract concepts, some figurative language, and includes vocabulary like "Arab-Israeli War", "innocent victims", "healer". But it's fairly simple narrative, not advanced vocabulary. Probably middle school level, maybe 8th grade. We can argue 7th-8th grade. Provide explanation. Then separator and grade level.
We must follow format strictly. Provide explanation sentences, then "</t>
  </si>
  <si>
    <t>Q76</t>
  </si>
  <si>
    <t xml:space="preserve">The passage contains several aviation‑related terms (altimeter, transmitter, headset, microphone switch) that are typically introduced in high‑school science or technical courses. The sentences are mostly straightforward, though some are long and contain repetition, which can slightly raise the cognitive load. Overall, the vocabulary and sentence structure align best with a middle‑to‑upper‑secondary reading level.</t>
  </si>
  <si>
    <t>Q77</t>
  </si>
  <si>
    <t xml:space="preserve">The passage uses straightforward, descriptive language with few advanced vocabulary terms. Sentences are mostly simple or compound, and the narrative flow follows a clear, linear sequence of events. While the figurative phrase “legs were on fire” adds some imagery, it doesn’t require high-level linguistic skills to understand. The overall readability aligns with the typical reading level of late elementary to early middle school, which corresponds to around 8th‑9th grade in the U.S. education system.</t>
  </si>
  <si>
    <t>Q78</t>
  </si>
  <si>
    <t xml:space="preserve">The passage contains several longer, run‑on sentences and a few words that are not part of everyday elementary‑level vocabulary (“slithering,” “rasping,” “attacker,” “calf”). While the basic grammar is correct, the sentence structure is complex enough that a reader would need a solid understanding of high‑school level syntax and vocabulary. This places the text at roughly a 10th‑grade reading level, suitable for high‑school juniors and seniors who are comfortable with narrative prose that includes descriptive, slightly advanced diction.</t>
  </si>
  <si>
    <t>Q79</t>
  </si>
  <si>
    <t xml:space="preserve">The passage uses a mix of everyday language and a few slightly more advanced terms such as “ledge,” “unreachable,” and “hatchet.”  Sentences are generally long and descriptive, but they don’t involve complex syntax or abstract concepts.  The vocabulary and sentence structure align with what high‑school students in the middle‑to‑upper‑classroom (around grades 9–10) would comfortably understand, making it a solid 9th‑grade reading level.</t>
  </si>
  <si>
    <t>Q80</t>
  </si>
  <si>
    <t xml:space="preserve">The passage uses descriptive, figurative language and several compound‑complex sentences that are typical of high‑school prose. Words like “twisted,” “snapped,” and “meat grinder” are not common in elementary vocabulary, and the narrator’s internal thoughts add depth to the narrative. The sentence structures are long and involve multiple clauses, which can challenge younger readers. Overall, the lexical difficulty and syntactic complexity suggest a reading level in the high‑school range, around the 10th‑grade level.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</si>
</sst>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00.0"/>
    <numFmt numFmtId="165" formatCode="0.0"/>
  </numFmts>
  <fonts count="2">
    <font>
      <sz val="11.000000"/>
      <color theme="1"/>
      <name val="Aptos Narrow"/>
      <scheme val="minor"/>
    </font>
    <font>
      <sz val="10.000000"/>
      <color theme="1"/>
      <name val="Arial Unicode MS"/>
    </font>
  </fonts>
  <fills count="2">
    <fill>
      <patternFill patternType="none"/>
    </fill>
    <fill>
      <patternFill patternType="gray125"/>
    </fill>
  </fills>
  <borders count="3">
    <border>
      <left style="none"/>
      <right style="none"/>
      <top style="none"/>
      <bottom style="none"/>
      <diagonal style="none"/>
    </border>
    <border>
      <left style="thin">
        <color auto="1"/>
      </left>
      <right style="none"/>
      <top style="none"/>
      <bottom style="none"/>
      <diagonal style="none"/>
    </border>
    <border>
      <left style="thin">
        <color theme="1"/>
      </left>
      <right style="none"/>
      <top style="none"/>
      <bottom style="none"/>
      <diagonal style="none"/>
    </border>
  </borders>
  <cellStyleXfs count="1">
    <xf fontId="0" fillId="0" borderId="0" numFmtId="0" applyNumberFormat="1" applyFont="1" applyFill="1" applyBorder="1"/>
  </cellStyleXfs>
  <cellXfs count="16">
    <xf fontId="0" fillId="0" borderId="0" numFmtId="0" xfId="0"/>
    <xf fontId="0" fillId="0" borderId="0" numFmtId="0" xfId="0" applyAlignment="1">
      <alignment wrapText="1"/>
    </xf>
    <xf fontId="0" fillId="0" borderId="1" numFmtId="0" xfId="0" applyBorder="1"/>
    <xf fontId="0" fillId="0" borderId="1" numFmtId="0" xfId="0" applyBorder="1" applyAlignment="1">
      <alignment wrapText="1"/>
    </xf>
    <xf fontId="0" fillId="0" borderId="2" numFmtId="0" xfId="0" applyBorder="1" applyAlignment="1">
      <alignment wrapText="1"/>
    </xf>
    <xf fontId="0" fillId="0" borderId="0" numFmtId="0" xfId="0"/>
    <xf fontId="0" fillId="0" borderId="1" numFmtId="2" xfId="0" applyNumberFormat="1" applyBorder="1"/>
    <xf fontId="0" fillId="0" borderId="0" numFmtId="2" xfId="0" applyNumberFormat="1"/>
    <xf fontId="0" fillId="0" borderId="2" numFmtId="2" xfId="0" applyNumberFormat="1" applyBorder="1"/>
    <xf fontId="0" fillId="0" borderId="0" numFmtId="0" xfId="0">
      <protection hidden="0" locked="1"/>
    </xf>
    <xf fontId="0" fillId="0" borderId="0" numFmtId="164" xfId="0" applyNumberFormat="1"/>
    <xf fontId="0" fillId="0" borderId="0" numFmtId="165" xfId="0" applyNumberFormat="1"/>
    <xf fontId="0" fillId="0" borderId="0" numFmtId="2" xfId="0" applyNumberFormat="1"/>
    <xf fontId="0" fillId="0" borderId="2" numFmtId="0" xfId="0" applyBorder="1"/>
    <xf fontId="1" fillId="0" borderId="0" numFmtId="0" xfId="0" applyFont="1" applyAlignment="1">
      <alignment vertical="center"/>
    </xf>
    <xf fontId="0" fillId="0" borderId="0" numFmt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16</xdr:col>
      <xdr:colOff>20951</xdr:colOff>
      <xdr:row>10</xdr:row>
      <xdr:rowOff>19047</xdr:rowOff>
    </xdr:from>
    <xdr:to>
      <xdr:col>23</xdr:col>
      <xdr:colOff>487676</xdr:colOff>
      <xdr:row>49</xdr:row>
      <xdr:rowOff>13334</xdr:rowOff>
    </xdr:to>
    <xdr:sp>
      <xdr:nvSpPr>
        <xdr:cNvPr id="2" name="TextBox 1"/>
        <xdr:cNvSpPr txBox="1"/>
      </xdr:nvSpPr>
      <xdr:spPr bwMode="auto">
        <a:xfrm flipH="0" flipV="0">
          <a:off x="14681831" y="2175507"/>
          <a:ext cx="8185784" cy="6829426"/>
        </a:xfrm>
        <a:prstGeom prst="rect">
          <a:avLst/>
        </a:prstGeom>
        <a:solidFill>
          <a:schemeClr val="lt1"/>
        </a:solidFill>
        <a:ln w="9525" cmpd="sng">
          <a:solidFill>
            <a:schemeClr val="lt1">
              <a:shade val="50000"/>
            </a:schemeClr>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en-US" sz="1600"/>
            <a:t>These findings seem to indicate that the LLM likes to generally assign a high grade level to most text. The heuristic based methods Flesch-Kincaid Grade Level, ARI, SMOG, score seems to generally give responses more in line with what one would expect from those books (with some exceptions).</a:t>
          </a:r>
          <a:endParaRPr/>
        </a:p>
        <a:p>
          <a:pPr>
            <a:defRPr/>
          </a:pPr>
          <a:r>
            <a:rPr lang="en-US" sz="1600"/>
            <a:t>This could indicate that if the LLM could make use of these heuristic methods to determine the grade level of text, it could perform better for tasks related to simplifying text.</a:t>
          </a:r>
          <a:endParaRPr lang="en-US" sz="1600"/>
        </a:p>
        <a:p>
          <a:pPr>
            <a:defRPr/>
          </a:pPr>
          <a:endParaRPr/>
        </a:p>
        <a:p>
          <a:pPr>
            <a:defRPr/>
          </a:pPr>
          <a:r>
            <a:rPr lang="en-US" sz="1600"/>
            <a:t>Query V2 matches scores of original query, so we can expect that the explanations did not affect its decision making. We can qualitatively assess the explanations it gave to see if they are reasonable or not.</a:t>
          </a:r>
          <a:endParaRPr lang="en-US" sz="1600"/>
        </a:p>
        <a:p>
          <a:pPr>
            <a:defRPr/>
          </a:pPr>
          <a:endParaRPr/>
        </a:p>
        <a:p>
          <a:pPr>
            <a:defRPr/>
          </a:pPr>
          <a:endParaRPr/>
        </a:p>
        <a:p>
          <a:pPr>
            <a:defRPr/>
          </a:pPr>
          <a:r>
            <a:rPr lang="en-US" sz="1600"/>
            <a:t>For the explanations the LLM provided, they often do seem to understand and grasp the elements of the text that would contribute to readability/complexity, things like vocabulary (and what is common or not), sentence structure, use of active/passive voice, distinctions between archaic and modern terms, and themes. That being said, it seems to pretty reliably overestimate the reading level of a given piece of text. (While still having a decent understanding of the relative differences in difficulty, this might be due to the fact that it was likely trained mostly on higher (adult) level text for the most part, and doesn't have as much basis for primary-school level difficulty, given that much of that text is copyrighted).</a:t>
          </a:r>
          <a:endParaRPr lang="en-US" sz="1600"/>
        </a:p>
        <a:p>
          <a:pPr>
            <a:defRPr/>
          </a:pPr>
          <a:r>
            <a:rPr lang="en-US" sz="1600"/>
            <a:t>A basic linear regression can be done using this data to help map/correct the LLM output to be more inline with the qualitative labels, given that the LLM tended  to always put excerpts at a higher grade level than they really were (these tests were by no means extensive, so we can't say for certain that it is representative of the overall performance of the LLM). Corrected LLM Grade = 0.9882*(LLM Grade) - 2.918</a:t>
          </a:r>
          <a:endParaRPr lang="en-US" sz="1600"/>
        </a:p>
        <a:p>
          <a:pPr>
            <a:defRPr/>
          </a:pPr>
          <a:r>
            <a:rPr lang="en-US" sz="1600"/>
            <a:t>This linear regression has an R^2 score of 0.7921, not perfect, but decent considering the variability  and lack of *real* ground truth for the qualitative labels. P-value of 0.0001</a:t>
          </a:r>
          <a:endParaRPr lang="en-US" sz="1600"/>
        </a:p>
      </xdr:txBody>
    </xdr:sp>
    <xdr:clientData/>
  </xdr:twoCellAnchor>
  <xdr:oneCellAnchor>
    <xdr:from>
      <xdr:col>24</xdr:col>
      <xdr:colOff>49529</xdr:colOff>
      <xdr:row>11</xdr:row>
      <xdr:rowOff>127634</xdr:rowOff>
    </xdr:from>
    <xdr:ext cx="8967745" cy="6156959"/>
    <xdr:pic>
      <xdr:nvPicPr>
        <xdr:cNvPr id="1648262620" name=""/>
        <xdr:cNvPicPr>
          <a:picLocks noChangeAspect="1"/>
        </xdr:cNvPicPr>
      </xdr:nvPicPr>
      <xdr:blipFill rotWithShape="1">
        <a:blip r:embed="rId1"/>
        <a:stretch/>
      </xdr:blipFill>
      <xdr:spPr bwMode="auto">
        <a:xfrm flipH="0" flipV="0">
          <a:off x="23115269" y="2459354"/>
          <a:ext cx="8967745" cy="6156959"/>
        </a:xfrm>
        <a:prstGeom prst="rect">
          <a:avLst/>
        </a:prstGeom>
      </xdr:spPr>
    </xdr:pic>
    <xdr:clientData/>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C1" zoomScale="100" workbookViewId="0">
      <selection activeCell="Z7" activeCellId="0" sqref="Z7"/>
    </sheetView>
  </sheetViews>
  <sheetFormatPr defaultRowHeight="14.25"/>
  <cols>
    <col customWidth="1" min="1" max="1" width="5.5703125"/>
    <col customWidth="1" min="2" max="2" width="23.5703125"/>
    <col customWidth="1" min="3" max="3" width="12.7109375"/>
    <col customWidth="1" min="4" max="8" width="9"/>
    <col customWidth="1" min="10" max="10" width="13.140625"/>
    <col customWidth="1" min="11" max="11" width="10.5703125"/>
    <col customWidth="1" min="12" max="12" width="8"/>
    <col customWidth="1" min="13" max="13" width="10.5703125"/>
    <col customWidth="1" min="14" max="14" width="26.625"/>
    <col customWidth="1" min="15" max="15" width="9.50390625"/>
    <col customWidth="1" min="16" max="16" width="17.7109375"/>
    <col customWidth="1" min="17" max="17" width="29.25390625"/>
    <col customWidth="1" min="18" max="18" width="16.875"/>
    <col customWidth="1" min="19" max="19" width="13.50390625"/>
    <col customWidth="1" min="21" max="21" width="13.00390625"/>
    <col customWidth="1" min="22" max="22" width="12.42578125"/>
    <col customWidth="1" min="23" max="23" width="7.25390625"/>
    <col customWidth="1" min="25" max="25" width="12.125"/>
    <col customWidth="1" min="35" max="35" width="9.625"/>
  </cols>
  <sheetData>
    <row r="1" ht="45.75" customHeight="1">
      <c r="A1" t="s">
        <v>0</v>
      </c>
      <c r="B1" t="s">
        <v>1</v>
      </c>
      <c r="C1" s="1" t="s">
        <v>2</v>
      </c>
      <c r="D1" s="2" t="s">
        <v>3</v>
      </c>
      <c r="E1" t="s">
        <v>4</v>
      </c>
      <c r="F1" t="s">
        <v>5</v>
      </c>
      <c r="G1" t="s">
        <v>6</v>
      </c>
      <c r="H1" t="s">
        <v>7</v>
      </c>
      <c r="I1" s="1" t="s">
        <v>8</v>
      </c>
      <c r="J1" s="3" t="s">
        <v>9</v>
      </c>
      <c r="K1" s="3" t="s">
        <v>10</v>
      </c>
      <c r="L1" t="s">
        <v>11</v>
      </c>
      <c r="M1" s="4"/>
      <c r="N1" t="s">
        <v>12</v>
      </c>
      <c r="O1" t="s">
        <v>13</v>
      </c>
      <c r="R1" t="s">
        <v>14</v>
      </c>
      <c r="S1" t="s">
        <v>15</v>
      </c>
      <c r="T1" t="s">
        <v>16</v>
      </c>
      <c r="U1" t="s">
        <v>17</v>
      </c>
      <c r="V1" s="5" t="s">
        <v>18</v>
      </c>
      <c r="W1" s="5" t="s">
        <v>19</v>
      </c>
      <c r="X1" s="5" t="s">
        <v>20</v>
      </c>
      <c r="Y1" s="5" t="s">
        <v>21</v>
      </c>
      <c r="Z1" s="5" t="s">
        <v>22</v>
      </c>
      <c r="AA1" s="5" t="s">
        <v>23</v>
      </c>
      <c r="AB1" s="5" t="s">
        <v>24</v>
      </c>
      <c r="AC1" s="5" t="s">
        <v>25</v>
      </c>
      <c r="AE1" s="1" t="s">
        <v>26</v>
      </c>
      <c r="AF1" s="1" t="s">
        <v>27</v>
      </c>
      <c r="AG1" s="1" t="s">
        <v>28</v>
      </c>
      <c r="AH1" s="1" t="s">
        <v>29</v>
      </c>
      <c r="AI1" s="1" t="s">
        <v>30</v>
      </c>
    </row>
    <row r="2" ht="13.800000000000001" customHeight="1">
      <c r="A2" t="s">
        <v>31</v>
      </c>
      <c r="B2" t="s">
        <v>14</v>
      </c>
      <c r="C2">
        <v>10</v>
      </c>
      <c r="D2" s="2">
        <v>12</v>
      </c>
      <c r="E2">
        <v>11</v>
      </c>
      <c r="F2">
        <v>15</v>
      </c>
      <c r="G2">
        <v>11</v>
      </c>
      <c r="H2">
        <v>10</v>
      </c>
      <c r="I2">
        <v>11.800000000000001</v>
      </c>
      <c r="J2" s="6">
        <v>13.3962404580152</v>
      </c>
      <c r="K2" s="6">
        <v>16.086068999999998</v>
      </c>
      <c r="L2" s="7">
        <v>12.161745</v>
      </c>
      <c r="M2" s="8"/>
      <c r="N2" s="9" t="s">
        <v>32</v>
      </c>
      <c r="O2" s="9">
        <v>11</v>
      </c>
      <c r="Q2" t="s">
        <v>33</v>
      </c>
      <c r="R2">
        <v>10</v>
      </c>
      <c r="S2">
        <v>8</v>
      </c>
      <c r="T2">
        <v>11</v>
      </c>
      <c r="U2">
        <v>5</v>
      </c>
      <c r="V2">
        <v>9</v>
      </c>
      <c r="W2">
        <v>12</v>
      </c>
      <c r="X2">
        <v>5</v>
      </c>
      <c r="Y2">
        <v>8</v>
      </c>
      <c r="Z2">
        <v>2</v>
      </c>
      <c r="AA2">
        <v>6</v>
      </c>
      <c r="AB2">
        <v>4</v>
      </c>
      <c r="AC2">
        <v>6</v>
      </c>
    </row>
    <row r="3" ht="13.800000000000001" customHeight="1">
      <c r="A3" t="s">
        <v>34</v>
      </c>
      <c r="B3" t="s">
        <v>14</v>
      </c>
      <c r="C3">
        <v>10</v>
      </c>
      <c r="D3" s="2">
        <v>12</v>
      </c>
      <c r="E3">
        <v>11</v>
      </c>
      <c r="F3">
        <v>11</v>
      </c>
      <c r="G3">
        <v>13</v>
      </c>
      <c r="H3">
        <v>12</v>
      </c>
      <c r="I3">
        <v>11.800000000000001</v>
      </c>
      <c r="J3" s="6">
        <v>13.276</v>
      </c>
      <c r="K3" s="6">
        <v>14.808400000000001</v>
      </c>
      <c r="L3" s="7">
        <v>14.191786</v>
      </c>
      <c r="M3" s="8"/>
      <c r="N3" s="9" t="s">
        <v>35</v>
      </c>
      <c r="O3" s="9">
        <v>12</v>
      </c>
      <c r="Q3" t="s">
        <v>36</v>
      </c>
      <c r="R3">
        <f>AVERAGE(I2:I6)</f>
        <v>11.120000000000001</v>
      </c>
      <c r="S3">
        <f>AVERAGE(I7:I11)</f>
        <v>11.520000000000001</v>
      </c>
      <c r="T3">
        <f>AVERAGE(I12:I16)</f>
        <v>11.6</v>
      </c>
      <c r="U3">
        <f>AVERAGE(I17:I21)</f>
        <v>9.8800000000000008</v>
      </c>
      <c r="V3" s="10">
        <f>AVERAGE(I22:I26)</f>
        <v>12.800000000000001</v>
      </c>
      <c r="W3">
        <f>AVERAGE(I27:I31)</f>
        <v>14.800000000000001</v>
      </c>
      <c r="X3" s="11">
        <f>AVERAGE(I32:I36)</f>
        <v>7.9599999999999991</v>
      </c>
      <c r="Y3">
        <f>AVERAGE(I37:I41)</f>
        <v>12.800000000000001</v>
      </c>
      <c r="Z3" s="11">
        <f>AVERAGE(I42:I46)</f>
        <v>5.9199999999999999</v>
      </c>
      <c r="AA3" s="11">
        <f>AVERAGE(I47:I51)</f>
        <v>7.3599999999999994</v>
      </c>
      <c r="AB3" s="7">
        <f>AVERAGE(I52:I56)</f>
        <v>7.0400000000000009</v>
      </c>
      <c r="AC3" s="7">
        <f>AVERAGE(I57:I61)</f>
        <v>9.5999999999999979</v>
      </c>
      <c r="AE3" s="7">
        <f>SUMPRODUCT(ABS(R3:AC3-R2:AC2))/COUNT(R3:AC3)</f>
        <v>3.0333333333333337</v>
      </c>
      <c r="AF3" s="7">
        <f>SUMPRODUCT((R3:AC3-R$2:AC$2))/COUNT(R3:AC3)</f>
        <v>3.0333333333333337</v>
      </c>
      <c r="AG3" s="7">
        <f>SQRT(SUMPRODUCT((R3:AC3-R$2:AC$2)^2)/COUNT(R3:AC3))</f>
        <v>3.3080507855835588</v>
      </c>
      <c r="AH3" s="7">
        <f>SQRT(SUMPRODUCT((R3:AC3-R$2:AC$2-(SUMPRODUCT(R3:AC3-R$2:AC$2)/COUNT(R3:AC3)))^2)/COUNT(R3:AC3))</f>
        <v>1.3198821496212794</v>
      </c>
      <c r="AI3" s="7">
        <f>CORREL(R3:AC3,R$2:AC$2)</f>
        <v>0.88905355635191174</v>
      </c>
    </row>
    <row r="4" ht="13.800000000000001" customHeight="1">
      <c r="A4" t="s">
        <v>37</v>
      </c>
      <c r="B4" t="s">
        <v>14</v>
      </c>
      <c r="C4">
        <v>10</v>
      </c>
      <c r="D4" s="2">
        <v>9</v>
      </c>
      <c r="E4">
        <v>7</v>
      </c>
      <c r="F4">
        <v>8</v>
      </c>
      <c r="G4">
        <v>8</v>
      </c>
      <c r="H4">
        <v>8</v>
      </c>
      <c r="I4">
        <v>8</v>
      </c>
      <c r="J4" s="6">
        <v>8.2607142857142808</v>
      </c>
      <c r="K4" s="6">
        <v>8.7168569999999992</v>
      </c>
      <c r="L4" s="7">
        <v>10.686353</v>
      </c>
      <c r="M4" s="8"/>
      <c r="N4" s="9" t="s">
        <v>38</v>
      </c>
      <c r="O4" s="9">
        <v>9</v>
      </c>
      <c r="Q4" t="s">
        <v>39</v>
      </c>
      <c r="R4" s="9">
        <f>AVERAGE(O3:O7)</f>
        <v>11.199999999999999</v>
      </c>
      <c r="S4" s="9">
        <f>AVERAGE(O8:O12)</f>
        <v>11.6</v>
      </c>
      <c r="T4" s="9">
        <f>AVERAGE(O13:O17)</f>
        <v>10.800000000000001</v>
      </c>
      <c r="U4" s="9">
        <f>AVERAGE(O18:O22)</f>
        <v>9.8000000000000007</v>
      </c>
      <c r="V4" s="10">
        <f>AVERAGE(O23:O27)</f>
        <v>13.6</v>
      </c>
      <c r="W4" s="9">
        <f>AVERAGE(O28:O32)</f>
        <v>13.6</v>
      </c>
      <c r="X4" s="11">
        <f>AVERAGE(O33:O37)</f>
        <v>8.8000000000000007</v>
      </c>
      <c r="Y4" s="9">
        <f>AVERAGE(O38:O42)</f>
        <v>11</v>
      </c>
      <c r="Z4" s="11">
        <f>AVERAGE(O43:O47)</f>
        <v>6.5999999999999996</v>
      </c>
      <c r="AA4" s="11">
        <f>AVERAGE(O48:O52)</f>
        <v>7.4000000000000004</v>
      </c>
      <c r="AB4" s="7">
        <f>AVERAGE(O53:O57)</f>
        <v>6.7999999999999998</v>
      </c>
      <c r="AC4" s="7">
        <f>AVERAGE(O58:O62)</f>
        <v>9.5</v>
      </c>
      <c r="AE4" s="7" t="s">
        <v>40</v>
      </c>
      <c r="AF4" s="7" t="s">
        <v>40</v>
      </c>
      <c r="AG4" s="7" t="s">
        <v>40</v>
      </c>
      <c r="AH4" s="12" t="s">
        <v>40</v>
      </c>
      <c r="AI4" s="12" t="s">
        <v>40</v>
      </c>
    </row>
    <row r="5" ht="13.800000000000001" customHeight="1">
      <c r="A5" t="s">
        <v>41</v>
      </c>
      <c r="B5" t="s">
        <v>14</v>
      </c>
      <c r="C5">
        <v>10</v>
      </c>
      <c r="D5" s="2">
        <v>14</v>
      </c>
      <c r="E5">
        <v>14</v>
      </c>
      <c r="F5">
        <v>13</v>
      </c>
      <c r="G5">
        <v>13</v>
      </c>
      <c r="H5">
        <v>16</v>
      </c>
      <c r="I5">
        <v>14</v>
      </c>
      <c r="J5" s="6">
        <v>10.608540540540501</v>
      </c>
      <c r="K5" s="6">
        <v>11.65</v>
      </c>
      <c r="L5" s="7">
        <v>12.340627</v>
      </c>
      <c r="M5" s="8"/>
      <c r="N5" s="9" t="s">
        <v>42</v>
      </c>
      <c r="O5" s="9">
        <v>14</v>
      </c>
      <c r="Q5" t="s">
        <v>43</v>
      </c>
      <c r="R5" s="7">
        <f>0.9882*R3-2.918</f>
        <v>8.0707839999999997</v>
      </c>
      <c r="S5" s="7">
        <f>0.9882*S3-2.918</f>
        <v>8.4660639999999994</v>
      </c>
      <c r="T5" s="7">
        <f>0.9882*T3-2.918</f>
        <v>8.5451200000000007</v>
      </c>
      <c r="U5" s="7">
        <f>0.9882*U3-2.918</f>
        <v>6.8454160000000011</v>
      </c>
      <c r="V5" s="7">
        <f>0.9882*V3-2.918</f>
        <v>9.7309599999999996</v>
      </c>
      <c r="W5" s="7">
        <f>0.9882*W3-2.918</f>
        <v>11.707360000000001</v>
      </c>
      <c r="X5" s="7">
        <f>0.9882*X3-2.918</f>
        <v>4.9480719999999989</v>
      </c>
      <c r="Y5" s="7">
        <f>0.9882*Y3-2.918</f>
        <v>9.7309599999999996</v>
      </c>
      <c r="Z5" s="7">
        <f>0.9882*Z3-2.918</f>
        <v>2.9321439999999992</v>
      </c>
      <c r="AA5" s="7">
        <f>0.9882*AA3-2.918</f>
        <v>4.3551519999999995</v>
      </c>
      <c r="AB5" s="7">
        <f>0.9882*AB3-2.918</f>
        <v>4.0389280000000003</v>
      </c>
      <c r="AC5" s="7">
        <f>0.9882*AC3-2.918</f>
        <v>6.5687199999999981</v>
      </c>
      <c r="AE5" s="7">
        <f>SUMPRODUCT(ABS(R5:AC5-R2:AC2))/COUNT(R5:AC5)</f>
        <v>1.057225333333333</v>
      </c>
      <c r="AF5" s="7">
        <f>SUMPRODUCT((R5:AC5-R$2:AC$2))/COUNT(R5:AC5)</f>
        <v>-0.0050266666666668831</v>
      </c>
      <c r="AG5" s="7">
        <f>SQRT(SUMPRODUCT((R5:AC5-R$2:AC$2)^2)/COUNT(R5:AC5))</f>
        <v>1.3193849890389586</v>
      </c>
      <c r="AH5" s="7">
        <f>SQRT(SUMPRODUCT((R5:AC5-R$2:AC$2-(SUMPRODUCT(R5:AC5-R$2:AC$2)/COUNT(R5:AC5)))^2)/COUNT(R5:AC5))</f>
        <v>1.3193754135664175</v>
      </c>
      <c r="AI5" s="7">
        <f>CORREL(R5:AC5,R$2:AC$2)</f>
        <v>0.88905355635191197</v>
      </c>
    </row>
    <row r="6" ht="13.800000000000001" customHeight="1">
      <c r="A6" t="s">
        <v>44</v>
      </c>
      <c r="B6" t="s">
        <v>14</v>
      </c>
      <c r="C6">
        <v>10</v>
      </c>
      <c r="D6" s="2">
        <v>9</v>
      </c>
      <c r="E6">
        <v>10</v>
      </c>
      <c r="F6">
        <v>10</v>
      </c>
      <c r="G6">
        <v>10</v>
      </c>
      <c r="H6">
        <v>11</v>
      </c>
      <c r="I6">
        <v>10</v>
      </c>
      <c r="J6" s="6">
        <v>8.8210819672131109</v>
      </c>
      <c r="K6" s="6">
        <v>10.652377</v>
      </c>
      <c r="L6" s="7">
        <v>9.3871000000000002</v>
      </c>
      <c r="M6" s="8"/>
      <c r="N6" s="9" t="s">
        <v>45</v>
      </c>
      <c r="O6" s="9">
        <v>10</v>
      </c>
      <c r="Q6" t="s">
        <v>46</v>
      </c>
      <c r="R6" s="7">
        <f>AVERAGE(J2:J6)</f>
        <v>10.872515450296619</v>
      </c>
      <c r="S6" s="7">
        <f>AVERAGE(J7:J11)</f>
        <v>9.9453859540221465</v>
      </c>
      <c r="T6" s="7">
        <f>AVERAGE(J12:J16)</f>
        <v>7.1591110266681595</v>
      </c>
      <c r="U6" s="7">
        <f>AVERAGE(J17:J21)</f>
        <v>7.2487860274134404</v>
      </c>
      <c r="V6" s="7">
        <f>AVERAGE(J22:J26)</f>
        <v>10.424480142225518</v>
      </c>
      <c r="W6" s="7">
        <f>AVERAGE(J27:J31)</f>
        <v>12.044872020055303</v>
      </c>
      <c r="X6" s="7">
        <f>AVERAGE(J32:J37)</f>
        <v>6.0921708673348256</v>
      </c>
      <c r="Y6" s="7">
        <f>AVERAGE(J37:J41)</f>
        <v>4.6352365336939334</v>
      </c>
      <c r="Z6" s="7">
        <f>AVERAGE(J42:J46)</f>
        <v>5.0467729819200358</v>
      </c>
      <c r="AA6" s="7">
        <f>AVERAGE(J47:J51)</f>
        <v>5.2499271825028702</v>
      </c>
      <c r="AB6" s="7">
        <f>AVERAGE(J52:J56)</f>
        <v>3.9793807591202004</v>
      </c>
      <c r="AC6" s="7">
        <f>AVERAGE(J57:J61)</f>
        <v>7.4472785060517399</v>
      </c>
      <c r="AE6" s="7">
        <f>SUMPRODUCT(ABS(R6:AC6-R2:AC2))/COUNT(R6:AC6)</f>
        <v>1.6748838706112057</v>
      </c>
      <c r="AF6" s="7">
        <f>SUMPRODUCT((R6:AC6-R$2:AC$2))/COUNT(R6:AC6)</f>
        <v>0.34549312094206597</v>
      </c>
      <c r="AG6" s="7">
        <f>SQRT(SUMPRODUCT((R6:AC6-R$2:AC$2)^2)/COUNT(R6:AC6))</f>
        <v>2.0583443801424162</v>
      </c>
      <c r="AH6" s="7">
        <f>SQRT(SUMPRODUCT((R6:AC6-R$2:AC$2-(SUMPRODUCT(R6:AC6-R$2:AC$2)/COUNT(R6:AC6)))^2)/COUNT(R6:AC6))</f>
        <v>2.0291417128050915</v>
      </c>
      <c r="AI6" s="7">
        <f>CORREL(R6:AC6,R$2:AC$2)</f>
        <v>0.72980440991230677</v>
      </c>
    </row>
    <row r="7" ht="13.800000000000001" customHeight="1">
      <c r="A7" t="s">
        <v>47</v>
      </c>
      <c r="B7" t="s">
        <v>15</v>
      </c>
      <c r="C7">
        <v>8</v>
      </c>
      <c r="D7" s="2">
        <v>12</v>
      </c>
      <c r="E7">
        <v>11</v>
      </c>
      <c r="F7">
        <v>11</v>
      </c>
      <c r="G7">
        <v>10</v>
      </c>
      <c r="H7">
        <v>12</v>
      </c>
      <c r="I7">
        <v>11.199999999999999</v>
      </c>
      <c r="J7" s="6">
        <v>9.0889743589743599</v>
      </c>
      <c r="K7" s="6">
        <v>11.170067</v>
      </c>
      <c r="L7" s="7">
        <v>9.9949670000000008</v>
      </c>
      <c r="M7" s="8"/>
      <c r="N7" s="1" t="s">
        <v>48</v>
      </c>
      <c r="O7" s="9">
        <v>11</v>
      </c>
      <c r="P7" s="7"/>
      <c r="Q7" t="s">
        <v>49</v>
      </c>
      <c r="R7" s="7">
        <f>AVERAGE(K2:K6)</f>
        <v>12.3827406</v>
      </c>
      <c r="S7" s="7">
        <f>AVERAGE(K7:K11)</f>
        <v>12.2417616</v>
      </c>
      <c r="T7" s="7">
        <f>AVERAGE(K12:K16)</f>
        <v>7.6734195999999999</v>
      </c>
      <c r="U7" s="7">
        <f>AVERAGE(K17:K21)</f>
        <v>8.8491871999999994</v>
      </c>
      <c r="V7" s="7">
        <f>AVERAGE(K22:K26)</f>
        <v>13.343417404805569</v>
      </c>
      <c r="W7" s="7">
        <f>AVERAGE(K27:K31)</f>
        <v>15.543938002160681</v>
      </c>
      <c r="X7" s="7">
        <f>AVERAGE(K32:K36)</f>
        <v>6.8899469381063607</v>
      </c>
      <c r="Y7" s="7">
        <f>AVERAGE(K37:K41)</f>
        <v>5.5509953617308927</v>
      </c>
      <c r="Z7" s="7">
        <f>AVERAGE(K42:K46)</f>
        <v>6.6167957983193251</v>
      </c>
      <c r="AA7" s="7">
        <f>AVERAGE(K47:K51)</f>
        <v>5.6923440787687838</v>
      </c>
      <c r="AB7" s="7">
        <f>AVERAGE(K52:K56)</f>
        <v>4.0347515296303929</v>
      </c>
      <c r="AC7" s="7">
        <f>AVERAGE(K57:K61)</f>
        <v>8.6051688476436077</v>
      </c>
      <c r="AE7" s="7">
        <f>SUMPRODUCT(ABS(R7:AC7-R2:AC2))/COUNT(R7:AC7)</f>
        <v>2.7992457400138542</v>
      </c>
      <c r="AF7" s="7">
        <f>SUMPRODUCT((R7:AC7-R$2:AC$2))/COUNT(R7:AC7)</f>
        <v>1.7853722467638009</v>
      </c>
      <c r="AG7" s="7">
        <f>SQRT(SUMPRODUCT((R7:AC7-R$2:AC$2)^2)/COUNT(R7:AC7))</f>
        <v>3.1456880005529086</v>
      </c>
      <c r="AH7" s="7">
        <f>SQRT(SUMPRODUCT((R7:AC7-R$2:AC$2-(SUMPRODUCT(R7:AC7-R$2:AC$2)/COUNT(R7:AC7)))^2)/COUNT(R7:AC7))</f>
        <v>2.589941879137085</v>
      </c>
      <c r="AI7" s="7">
        <f>CORREL(R7:AC7,R$2:AC$2)</f>
        <v>0.67952649564319234</v>
      </c>
    </row>
    <row r="8" ht="13.800000000000001" customHeight="1">
      <c r="A8" t="s">
        <v>50</v>
      </c>
      <c r="B8" t="s">
        <v>15</v>
      </c>
      <c r="C8">
        <v>8</v>
      </c>
      <c r="D8" s="2">
        <v>13</v>
      </c>
      <c r="E8">
        <v>13</v>
      </c>
      <c r="F8">
        <v>11</v>
      </c>
      <c r="G8">
        <v>13</v>
      </c>
      <c r="H8">
        <v>12</v>
      </c>
      <c r="I8">
        <v>12.4</v>
      </c>
      <c r="J8" s="6">
        <v>14.2867401960784</v>
      </c>
      <c r="K8" s="6">
        <v>16.856912000000001</v>
      </c>
      <c r="L8" s="7">
        <v>14.554593000000001</v>
      </c>
      <c r="M8" s="8"/>
      <c r="N8" s="9" t="s">
        <v>51</v>
      </c>
      <c r="O8" s="9">
        <v>12</v>
      </c>
      <c r="Q8" t="s">
        <v>52</v>
      </c>
      <c r="R8" s="7">
        <f>AVERAGE(L2:L6)</f>
        <v>11.753522200000001</v>
      </c>
      <c r="S8" s="7">
        <f>AVERAGE(L7:L11)</f>
        <v>10.256857200000001</v>
      </c>
      <c r="T8" s="7">
        <f>AVERAGE(L12:L16)</f>
        <v>9.2229212000000018</v>
      </c>
      <c r="U8" s="7">
        <f>AVERAGE(L17:L21)</f>
        <v>9.1526882000000001</v>
      </c>
      <c r="V8" s="7">
        <f>AVERAGE(L22:L26)</f>
        <v>10.363144709577641</v>
      </c>
      <c r="W8" s="7">
        <f>AVERAGE(L27:L31)</f>
        <v>9.1846468070218972</v>
      </c>
      <c r="X8" s="7">
        <f>AVERAGE(L32:L36)</f>
        <v>8.1704685123370382</v>
      </c>
      <c r="Y8" s="7">
        <f>AVERAGE(L37:L41)</f>
        <v>6.3569854504320684</v>
      </c>
      <c r="Z8" s="7">
        <f>AVERAGE(L42:L46)</f>
        <v>9.2105281598012088</v>
      </c>
      <c r="AA8" s="7">
        <f>AVERAGE(L47:L51)</f>
        <v>7.4762401741712754</v>
      </c>
      <c r="AB8" s="7">
        <f>AVERAGE(L52:L56)</f>
        <v>7.2099419359514858</v>
      </c>
      <c r="AC8" s="7">
        <f>AVERAGE(L57:L61)</f>
        <v>7.5943589306200874</v>
      </c>
      <c r="AE8" s="7">
        <f>SUMPRODUCT(ABS(R8:AC8-R2:AC2))/COUNT(R8:AC8)</f>
        <v>2.7019330470837306</v>
      </c>
      <c r="AF8" s="7">
        <f>SUMPRODUCT((R8:AC8-R$2:AC$2))/COUNT(R8:AC8)</f>
        <v>1.6626919566593923</v>
      </c>
      <c r="AG8" s="7">
        <f>SQRT(SUMPRODUCT((R8:AC8-R$2:AC$2)^2)/COUNT(R8:AC8))</f>
        <v>3.1374555295671636</v>
      </c>
      <c r="AH8" s="7">
        <f>SQRT(SUMPRODUCT((R8:AC8-R$2:AC$2-(SUMPRODUCT(R8:AC8-R$2:AC$2)/COUNT(R8:AC8)))^2)/COUNT(R8:AC8))</f>
        <v>2.6606545542914311</v>
      </c>
      <c r="AI8" s="7">
        <f>CORREL(R8:AC8,R$2:AC$2)</f>
        <v>0.39993115818686659</v>
      </c>
    </row>
    <row r="9" ht="13.800000000000001" customHeight="1">
      <c r="A9" t="s">
        <v>53</v>
      </c>
      <c r="B9" t="s">
        <v>15</v>
      </c>
      <c r="C9">
        <v>8</v>
      </c>
      <c r="D9" s="2">
        <v>10</v>
      </c>
      <c r="E9">
        <v>10</v>
      </c>
      <c r="F9">
        <v>12</v>
      </c>
      <c r="G9">
        <v>10</v>
      </c>
      <c r="H9">
        <v>12</v>
      </c>
      <c r="I9">
        <v>10.800000000000001</v>
      </c>
      <c r="J9" s="6">
        <v>5.3330532212885098</v>
      </c>
      <c r="K9" s="6">
        <v>7.6624559999999997</v>
      </c>
      <c r="L9" s="7">
        <v>8.8418460000000003</v>
      </c>
      <c r="M9" s="8"/>
      <c r="N9" s="1" t="s">
        <v>54</v>
      </c>
      <c r="O9" s="9">
        <v>9</v>
      </c>
    </row>
    <row r="10" ht="13.800000000000001" customHeight="1">
      <c r="A10" t="s">
        <v>55</v>
      </c>
      <c r="B10" t="s">
        <v>15</v>
      </c>
      <c r="C10">
        <v>8</v>
      </c>
      <c r="D10" s="2">
        <v>12</v>
      </c>
      <c r="E10">
        <v>12</v>
      </c>
      <c r="F10">
        <v>12</v>
      </c>
      <c r="G10">
        <v>13</v>
      </c>
      <c r="H10">
        <v>12</v>
      </c>
      <c r="I10">
        <v>12.199999999999999</v>
      </c>
      <c r="J10" s="6">
        <v>15.65</v>
      </c>
      <c r="K10" s="6">
        <v>19.391750999999999</v>
      </c>
      <c r="L10" s="7">
        <v>9.7256110000000007</v>
      </c>
      <c r="M10" s="8"/>
      <c r="N10" s="9" t="s">
        <v>56</v>
      </c>
      <c r="O10" s="9">
        <v>13</v>
      </c>
    </row>
    <row r="11" ht="13.800000000000001" customHeight="1">
      <c r="A11" t="s">
        <v>57</v>
      </c>
      <c r="B11" t="s">
        <v>15</v>
      </c>
      <c r="C11">
        <v>8</v>
      </c>
      <c r="D11" s="2">
        <v>10</v>
      </c>
      <c r="E11">
        <v>10</v>
      </c>
      <c r="F11">
        <v>12</v>
      </c>
      <c r="G11">
        <v>12</v>
      </c>
      <c r="H11">
        <v>11</v>
      </c>
      <c r="I11">
        <v>11</v>
      </c>
      <c r="J11" s="6">
        <v>5.3681619937694602</v>
      </c>
      <c r="K11" s="6">
        <v>6.1276219999999997</v>
      </c>
      <c r="L11" s="7">
        <v>8.1672689999999992</v>
      </c>
      <c r="M11" s="8"/>
      <c r="N11" s="9" t="s">
        <v>58</v>
      </c>
      <c r="O11" s="9">
        <v>9</v>
      </c>
    </row>
    <row r="12" ht="13.800000000000001" customHeight="1">
      <c r="A12" t="s">
        <v>59</v>
      </c>
      <c r="B12" t="s">
        <v>16</v>
      </c>
      <c r="C12">
        <v>11</v>
      </c>
      <c r="D12" s="2">
        <v>13</v>
      </c>
      <c r="E12">
        <v>13</v>
      </c>
      <c r="F12">
        <v>14</v>
      </c>
      <c r="G12">
        <v>16</v>
      </c>
      <c r="H12">
        <v>13</v>
      </c>
      <c r="I12">
        <v>13.800000000000001</v>
      </c>
      <c r="J12" s="6">
        <v>9.9443066596007696</v>
      </c>
      <c r="K12" s="6">
        <v>10.825018999999999</v>
      </c>
      <c r="L12" s="7">
        <v>12.52632</v>
      </c>
      <c r="M12" s="8"/>
      <c r="N12" s="9" t="s">
        <v>60</v>
      </c>
      <c r="O12" s="9">
        <v>15</v>
      </c>
    </row>
    <row r="13" ht="13.800000000000001" customHeight="1">
      <c r="A13" t="s">
        <v>61</v>
      </c>
      <c r="B13" t="s">
        <v>16</v>
      </c>
      <c r="C13">
        <v>11</v>
      </c>
      <c r="D13" s="2">
        <v>9</v>
      </c>
      <c r="E13">
        <v>11</v>
      </c>
      <c r="F13">
        <v>10</v>
      </c>
      <c r="G13">
        <v>9</v>
      </c>
      <c r="H13">
        <v>9</v>
      </c>
      <c r="I13">
        <v>9.5999999999999996</v>
      </c>
      <c r="J13" s="6">
        <v>3.5036363636363599</v>
      </c>
      <c r="K13" s="6">
        <v>2.9100000000000001</v>
      </c>
      <c r="L13" s="7">
        <v>6.7421579999999999</v>
      </c>
      <c r="M13" s="8"/>
      <c r="N13" s="9" t="s">
        <v>62</v>
      </c>
      <c r="O13" s="9">
        <v>13</v>
      </c>
    </row>
    <row r="14" ht="13.800000000000001" customHeight="1">
      <c r="A14" t="s">
        <v>63</v>
      </c>
      <c r="B14" t="s">
        <v>16</v>
      </c>
      <c r="C14">
        <v>11</v>
      </c>
      <c r="D14" s="2">
        <v>11</v>
      </c>
      <c r="E14">
        <v>11</v>
      </c>
      <c r="F14">
        <v>10</v>
      </c>
      <c r="G14">
        <v>13</v>
      </c>
      <c r="H14">
        <v>10</v>
      </c>
      <c r="I14">
        <v>11</v>
      </c>
      <c r="J14" s="6">
        <v>4.6875675675675597</v>
      </c>
      <c r="K14" s="6">
        <v>4.4040990000000004</v>
      </c>
      <c r="L14" s="7">
        <v>7.168622</v>
      </c>
      <c r="M14" s="8"/>
      <c r="N14" s="9" t="s">
        <v>64</v>
      </c>
      <c r="O14" s="9">
        <v>10</v>
      </c>
    </row>
    <row r="15" ht="13.800000000000001" customHeight="1">
      <c r="A15" t="s">
        <v>65</v>
      </c>
      <c r="B15" t="s">
        <v>16</v>
      </c>
      <c r="C15">
        <v>11</v>
      </c>
      <c r="D15" s="2">
        <v>12</v>
      </c>
      <c r="E15">
        <v>11</v>
      </c>
      <c r="F15">
        <v>13</v>
      </c>
      <c r="G15">
        <v>11</v>
      </c>
      <c r="H15">
        <v>12</v>
      </c>
      <c r="I15">
        <v>11.800000000000001</v>
      </c>
      <c r="J15" s="6">
        <v>9.9057945425361105</v>
      </c>
      <c r="K15" s="6">
        <v>11.84423</v>
      </c>
      <c r="L15" s="7">
        <v>10.290406000000001</v>
      </c>
      <c r="M15" s="8"/>
      <c r="N15" s="9" t="s">
        <v>66</v>
      </c>
      <c r="O15" s="9">
        <v>11</v>
      </c>
    </row>
    <row r="16" ht="13.800000000000001" customHeight="1">
      <c r="A16" t="s">
        <v>67</v>
      </c>
      <c r="B16" t="s">
        <v>16</v>
      </c>
      <c r="C16">
        <v>11</v>
      </c>
      <c r="D16" s="2">
        <v>11</v>
      </c>
      <c r="E16">
        <v>13</v>
      </c>
      <c r="F16">
        <v>11</v>
      </c>
      <c r="G16">
        <v>12</v>
      </c>
      <c r="H16">
        <v>12</v>
      </c>
      <c r="I16">
        <v>11.800000000000001</v>
      </c>
      <c r="J16" s="6">
        <v>7.7542499999999999</v>
      </c>
      <c r="K16" s="6">
        <v>8.3837499999999991</v>
      </c>
      <c r="L16" s="7">
        <v>9.3871000000000002</v>
      </c>
      <c r="M16" s="8"/>
      <c r="N16" s="9" t="s">
        <v>68</v>
      </c>
      <c r="O16" s="9">
        <v>12</v>
      </c>
    </row>
    <row r="17" ht="13.800000000000001" customHeight="1">
      <c r="A17" t="s">
        <v>69</v>
      </c>
      <c r="B17" t="s">
        <v>70</v>
      </c>
      <c r="C17">
        <v>5</v>
      </c>
      <c r="D17" s="2">
        <v>9</v>
      </c>
      <c r="E17">
        <v>11</v>
      </c>
      <c r="F17">
        <v>8</v>
      </c>
      <c r="G17">
        <v>8</v>
      </c>
      <c r="H17">
        <v>9</v>
      </c>
      <c r="I17">
        <v>9</v>
      </c>
      <c r="J17" s="6">
        <v>5.77348717948718</v>
      </c>
      <c r="K17" s="6">
        <v>6.4780769999999999</v>
      </c>
      <c r="L17" s="7">
        <v>8.2387359999999994</v>
      </c>
      <c r="M17" s="8"/>
      <c r="N17" s="9" t="s">
        <v>71</v>
      </c>
      <c r="O17" s="9">
        <v>8</v>
      </c>
    </row>
    <row r="18" ht="13.800000000000001" customHeight="1">
      <c r="A18" t="s">
        <v>72</v>
      </c>
      <c r="B18" t="s">
        <v>70</v>
      </c>
      <c r="C18">
        <v>5</v>
      </c>
      <c r="D18" s="2">
        <v>10</v>
      </c>
      <c r="E18">
        <v>10</v>
      </c>
      <c r="F18">
        <v>11</v>
      </c>
      <c r="G18">
        <v>12</v>
      </c>
      <c r="H18">
        <v>10</v>
      </c>
      <c r="I18">
        <v>10.6</v>
      </c>
      <c r="J18" s="6">
        <v>7.5533333333333301</v>
      </c>
      <c r="K18" s="6">
        <v>9.3889469999999999</v>
      </c>
      <c r="L18" s="7">
        <v>8.8418460000000003</v>
      </c>
      <c r="M18" s="8"/>
      <c r="N18" s="1" t="s">
        <v>73</v>
      </c>
      <c r="O18" s="9">
        <v>9</v>
      </c>
    </row>
    <row r="19" ht="13.800000000000001" customHeight="1">
      <c r="A19" t="s">
        <v>74</v>
      </c>
      <c r="B19" t="s">
        <v>70</v>
      </c>
      <c r="C19">
        <v>5</v>
      </c>
      <c r="D19" s="2">
        <v>10</v>
      </c>
      <c r="E19">
        <v>10</v>
      </c>
      <c r="F19">
        <v>9</v>
      </c>
      <c r="G19">
        <v>9</v>
      </c>
      <c r="H19">
        <v>11</v>
      </c>
      <c r="I19">
        <v>9.8000000000000007</v>
      </c>
      <c r="J19" s="6">
        <v>9.2183870967741903</v>
      </c>
      <c r="K19" s="6">
        <v>11.54172</v>
      </c>
      <c r="L19" s="7">
        <v>10.504224000000001</v>
      </c>
      <c r="M19" s="8"/>
      <c r="N19" s="9" t="s">
        <v>75</v>
      </c>
      <c r="O19" s="9">
        <v>7</v>
      </c>
    </row>
    <row r="20" ht="13.800000000000001" customHeight="1">
      <c r="A20" t="s">
        <v>76</v>
      </c>
      <c r="B20" t="s">
        <v>77</v>
      </c>
      <c r="C20">
        <v>5</v>
      </c>
      <c r="D20" s="2">
        <v>8</v>
      </c>
      <c r="E20">
        <v>8</v>
      </c>
      <c r="F20">
        <v>10</v>
      </c>
      <c r="G20">
        <v>10</v>
      </c>
      <c r="H20">
        <v>9</v>
      </c>
      <c r="I20">
        <v>9</v>
      </c>
      <c r="J20" s="6">
        <v>3.6887500000000002</v>
      </c>
      <c r="K20" s="6">
        <v>4.3255990000000004</v>
      </c>
      <c r="L20" s="7">
        <v>7.4922820000000003</v>
      </c>
      <c r="M20" s="8"/>
      <c r="N20" s="9" t="s">
        <v>78</v>
      </c>
      <c r="O20" s="9">
        <v>8</v>
      </c>
    </row>
    <row r="21" ht="13.800000000000001" customHeight="1">
      <c r="A21" t="s">
        <v>79</v>
      </c>
      <c r="B21" t="s">
        <v>77</v>
      </c>
      <c r="C21">
        <v>5</v>
      </c>
      <c r="D21" s="2">
        <v>12</v>
      </c>
      <c r="E21">
        <v>10</v>
      </c>
      <c r="F21">
        <v>10</v>
      </c>
      <c r="G21">
        <v>12</v>
      </c>
      <c r="H21">
        <v>11</v>
      </c>
      <c r="I21">
        <v>11</v>
      </c>
      <c r="J21" s="6">
        <v>10.009972527472501</v>
      </c>
      <c r="K21" s="6">
        <v>12.511593</v>
      </c>
      <c r="L21" s="7">
        <v>10.686353</v>
      </c>
      <c r="M21" s="8"/>
      <c r="N21" s="9" t="s">
        <v>80</v>
      </c>
      <c r="O21" s="9">
        <v>12</v>
      </c>
    </row>
    <row r="22" ht="13.800000000000001" customHeight="1">
      <c r="A22" t="s">
        <v>81</v>
      </c>
      <c r="B22" t="s">
        <v>18</v>
      </c>
      <c r="C22">
        <v>9</v>
      </c>
      <c r="D22" s="9">
        <v>13</v>
      </c>
      <c r="E22" s="9">
        <v>13</v>
      </c>
      <c r="F22" s="9">
        <v>12</v>
      </c>
      <c r="G22" s="9">
        <v>12</v>
      </c>
      <c r="H22" s="9">
        <v>13</v>
      </c>
      <c r="I22" s="10">
        <v>12.6</v>
      </c>
      <c r="J22" s="8">
        <v>14.220188679245201</v>
      </c>
      <c r="K22" s="7">
        <v>19.653364779874199</v>
      </c>
      <c r="L22" s="7">
        <v>11.208143260188599</v>
      </c>
      <c r="M22" s="13"/>
      <c r="N22" s="9" t="s">
        <v>82</v>
      </c>
      <c r="O22" s="9">
        <v>13</v>
      </c>
    </row>
    <row r="23" ht="13.800000000000001" customHeight="1">
      <c r="A23" t="s">
        <v>83</v>
      </c>
      <c r="B23" t="s">
        <v>18</v>
      </c>
      <c r="C23">
        <v>9</v>
      </c>
      <c r="D23" s="9">
        <v>14</v>
      </c>
      <c r="E23" s="9">
        <v>12</v>
      </c>
      <c r="F23" s="9">
        <v>14</v>
      </c>
      <c r="G23" s="9">
        <v>13</v>
      </c>
      <c r="H23" s="9">
        <v>15</v>
      </c>
      <c r="I23" s="10">
        <v>13.6</v>
      </c>
      <c r="J23" s="8">
        <v>13.312277227722699</v>
      </c>
      <c r="K23" s="7">
        <v>15.782244224422399</v>
      </c>
      <c r="L23" s="7">
        <v>11.208143260188599</v>
      </c>
      <c r="M23" s="13"/>
      <c r="N23" s="9" t="s">
        <v>84</v>
      </c>
      <c r="O23" s="9">
        <v>12</v>
      </c>
    </row>
    <row r="24" ht="13.800000000000001" customHeight="1">
      <c r="A24" t="s">
        <v>85</v>
      </c>
      <c r="B24" t="s">
        <v>18</v>
      </c>
      <c r="C24">
        <v>9</v>
      </c>
      <c r="D24" s="9">
        <v>13</v>
      </c>
      <c r="E24" s="9">
        <v>12</v>
      </c>
      <c r="F24" s="9">
        <v>13</v>
      </c>
      <c r="G24" s="9">
        <v>11</v>
      </c>
      <c r="H24" s="9">
        <v>10</v>
      </c>
      <c r="I24" s="10">
        <v>11.800000000000001</v>
      </c>
      <c r="J24" s="8">
        <v>9.8294871794871792</v>
      </c>
      <c r="K24" s="7">
        <v>11.7988461538461</v>
      </c>
      <c r="L24" s="7">
        <v>11.208143260188599</v>
      </c>
      <c r="M24" s="13"/>
      <c r="N24" s="9" t="s">
        <v>86</v>
      </c>
      <c r="O24" s="9">
        <v>12</v>
      </c>
    </row>
    <row r="25" ht="13.800000000000001" customHeight="1">
      <c r="A25" t="s">
        <v>87</v>
      </c>
      <c r="B25" t="s">
        <v>18</v>
      </c>
      <c r="C25">
        <v>9</v>
      </c>
      <c r="D25" s="9">
        <v>13</v>
      </c>
      <c r="E25" s="9">
        <v>13</v>
      </c>
      <c r="F25" s="9">
        <v>12</v>
      </c>
      <c r="G25" s="9">
        <v>13</v>
      </c>
      <c r="H25" s="9">
        <v>13</v>
      </c>
      <c r="I25" s="10">
        <v>12.800000000000001</v>
      </c>
      <c r="J25" s="8">
        <v>8.8092302333681598</v>
      </c>
      <c r="K25" s="7">
        <v>11.4391536050156</v>
      </c>
      <c r="L25" s="7">
        <v>10.637119530656999</v>
      </c>
      <c r="M25" s="13"/>
      <c r="N25" s="9" t="s">
        <v>88</v>
      </c>
      <c r="O25" s="9">
        <v>15</v>
      </c>
    </row>
    <row r="26" ht="13.800000000000001" customHeight="1">
      <c r="A26" t="s">
        <v>89</v>
      </c>
      <c r="B26" t="s">
        <v>18</v>
      </c>
      <c r="C26">
        <v>9</v>
      </c>
      <c r="D26" s="9">
        <v>13</v>
      </c>
      <c r="E26" s="9">
        <v>12</v>
      </c>
      <c r="F26" s="9">
        <v>13</v>
      </c>
      <c r="G26" s="9">
        <v>13</v>
      </c>
      <c r="H26" s="9">
        <v>15</v>
      </c>
      <c r="I26" s="10">
        <v>13.199999999999999</v>
      </c>
      <c r="J26" s="8">
        <v>5.9512173913043496</v>
      </c>
      <c r="K26" s="7">
        <v>8.0434782608695592</v>
      </c>
      <c r="L26" s="7">
        <v>7.5541742366654097</v>
      </c>
      <c r="M26" s="13"/>
      <c r="N26" s="9" t="s">
        <v>90</v>
      </c>
      <c r="O26" s="9">
        <v>16</v>
      </c>
    </row>
    <row r="27" ht="13.800000000000001" customHeight="1">
      <c r="A27" t="s">
        <v>91</v>
      </c>
      <c r="B27" t="s">
        <v>19</v>
      </c>
      <c r="C27">
        <v>12</v>
      </c>
      <c r="D27" s="9">
        <v>15</v>
      </c>
      <c r="E27" s="9">
        <v>15</v>
      </c>
      <c r="F27" s="9">
        <v>15</v>
      </c>
      <c r="G27" s="9">
        <v>17</v>
      </c>
      <c r="H27" s="9">
        <v>13</v>
      </c>
      <c r="I27" s="9">
        <v>15</v>
      </c>
      <c r="J27" s="8">
        <v>14.4529746835443</v>
      </c>
      <c r="K27" s="7">
        <v>19.306329113924001</v>
      </c>
      <c r="L27" s="7">
        <v>10.125756701596799</v>
      </c>
      <c r="M27" s="13"/>
      <c r="N27" s="1" t="s">
        <v>92</v>
      </c>
      <c r="O27" s="9">
        <v>13</v>
      </c>
    </row>
    <row r="28" ht="13.800000000000001" customHeight="1">
      <c r="A28" t="s">
        <v>93</v>
      </c>
      <c r="B28" t="s">
        <v>19</v>
      </c>
      <c r="C28">
        <v>12</v>
      </c>
      <c r="D28" s="9">
        <v>13</v>
      </c>
      <c r="E28" s="9">
        <v>13</v>
      </c>
      <c r="F28" s="9">
        <v>14</v>
      </c>
      <c r="G28" s="9">
        <v>15</v>
      </c>
      <c r="H28" s="9">
        <v>14</v>
      </c>
      <c r="I28" s="10">
        <v>13.800000000000001</v>
      </c>
      <c r="J28" s="8">
        <v>8.2582608695652198</v>
      </c>
      <c r="K28" s="7">
        <v>10.384434782608601</v>
      </c>
      <c r="L28" s="7">
        <v>9.3871000000000002</v>
      </c>
      <c r="M28" s="13"/>
      <c r="N28" s="9" t="s">
        <v>94</v>
      </c>
      <c r="O28" s="9">
        <v>14</v>
      </c>
    </row>
    <row r="29" ht="13.800000000000001" customHeight="1">
      <c r="A29" t="s">
        <v>95</v>
      </c>
      <c r="B29" t="s">
        <v>19</v>
      </c>
      <c r="C29">
        <v>12</v>
      </c>
      <c r="D29" s="9">
        <v>15</v>
      </c>
      <c r="E29" s="9">
        <v>15</v>
      </c>
      <c r="F29" s="9">
        <v>15</v>
      </c>
      <c r="G29" s="9">
        <v>14</v>
      </c>
      <c r="H29" s="9">
        <v>15</v>
      </c>
      <c r="I29" s="10">
        <v>14.800000000000001</v>
      </c>
      <c r="J29" s="8">
        <v>9.6893932038834905</v>
      </c>
      <c r="K29" s="7">
        <v>12.4799514563106</v>
      </c>
      <c r="L29" s="7">
        <v>9.51614450430713</v>
      </c>
      <c r="M29" s="13"/>
      <c r="N29" s="1" t="s">
        <v>96</v>
      </c>
      <c r="O29" s="9">
        <v>16</v>
      </c>
    </row>
    <row r="30" ht="13.800000000000001" customHeight="1">
      <c r="A30" t="s">
        <v>97</v>
      </c>
      <c r="B30" t="s">
        <v>19</v>
      </c>
      <c r="C30">
        <v>12</v>
      </c>
      <c r="D30" s="9">
        <v>16</v>
      </c>
      <c r="E30" s="9">
        <v>15</v>
      </c>
      <c r="F30" s="9">
        <v>16</v>
      </c>
      <c r="G30" s="9">
        <v>14</v>
      </c>
      <c r="H30" s="9">
        <v>14</v>
      </c>
      <c r="I30" s="9">
        <v>15</v>
      </c>
      <c r="J30" s="8">
        <v>16.183731343283501</v>
      </c>
      <c r="K30" s="7">
        <v>20.446318407960199</v>
      </c>
      <c r="L30" s="7">
        <v>9.7256111991112295</v>
      </c>
      <c r="M30" s="13"/>
      <c r="N30" s="1" t="s">
        <v>98</v>
      </c>
      <c r="O30" s="9">
        <v>15</v>
      </c>
    </row>
    <row r="31" ht="13.800000000000001" customHeight="1">
      <c r="A31" t="s">
        <v>99</v>
      </c>
      <c r="B31" t="s">
        <v>19</v>
      </c>
      <c r="C31">
        <v>12</v>
      </c>
      <c r="D31" s="9">
        <v>16</v>
      </c>
      <c r="E31" s="9">
        <v>15</v>
      </c>
      <c r="F31" s="9">
        <v>15</v>
      </c>
      <c r="G31" s="9">
        <v>15</v>
      </c>
      <c r="H31" s="9">
        <v>16</v>
      </c>
      <c r="I31" s="10">
        <v>15.4</v>
      </c>
      <c r="J31" s="8">
        <v>11.640000000000001</v>
      </c>
      <c r="K31" s="7">
        <v>15.102656250000001</v>
      </c>
      <c r="L31" s="7">
        <v>7.1686216300943304</v>
      </c>
      <c r="M31" s="13"/>
      <c r="N31" s="9" t="s">
        <v>100</v>
      </c>
      <c r="O31" s="9">
        <v>13</v>
      </c>
    </row>
    <row r="32" ht="13.800000000000001" customHeight="1">
      <c r="A32" t="s">
        <v>101</v>
      </c>
      <c r="B32" t="s">
        <v>20</v>
      </c>
      <c r="C32" s="14">
        <v>5</v>
      </c>
      <c r="D32" s="9">
        <v>6</v>
      </c>
      <c r="E32" s="9">
        <v>8</v>
      </c>
      <c r="F32" s="9">
        <v>7</v>
      </c>
      <c r="G32" s="9">
        <v>9</v>
      </c>
      <c r="H32" s="9">
        <v>7</v>
      </c>
      <c r="I32" s="11">
        <v>7.4000000000000004</v>
      </c>
      <c r="J32" s="8">
        <v>8.20217948717948</v>
      </c>
      <c r="K32" s="7">
        <v>8.9715384615384597</v>
      </c>
      <c r="L32" s="7">
        <v>8.07648339933343</v>
      </c>
      <c r="M32" s="13"/>
      <c r="N32" s="9" t="s">
        <v>102</v>
      </c>
      <c r="O32" s="9">
        <v>10</v>
      </c>
    </row>
    <row r="33" ht="13.800000000000001" customHeight="1">
      <c r="A33" t="s">
        <v>103</v>
      </c>
      <c r="B33" t="s">
        <v>20</v>
      </c>
      <c r="C33" s="14">
        <v>5</v>
      </c>
      <c r="D33" s="9">
        <v>8</v>
      </c>
      <c r="E33" s="9">
        <v>7</v>
      </c>
      <c r="F33" s="9">
        <v>5</v>
      </c>
      <c r="G33" s="9">
        <v>5</v>
      </c>
      <c r="H33" s="9">
        <v>6</v>
      </c>
      <c r="I33" s="11">
        <v>6.2000000000000002</v>
      </c>
      <c r="J33" s="8">
        <v>5.0620512820512804</v>
      </c>
      <c r="K33" s="7">
        <v>5.4196153846153798</v>
      </c>
      <c r="L33" s="7">
        <v>7.1686216300943304</v>
      </c>
      <c r="M33" s="13"/>
      <c r="N33" s="9" t="s">
        <v>104</v>
      </c>
      <c r="O33" s="9">
        <v>5</v>
      </c>
    </row>
    <row r="34" ht="13.800000000000001" customHeight="1">
      <c r="A34" t="s">
        <v>105</v>
      </c>
      <c r="B34" t="s">
        <v>20</v>
      </c>
      <c r="C34" s="14">
        <v>5</v>
      </c>
      <c r="D34" s="9">
        <v>8</v>
      </c>
      <c r="E34" s="9">
        <v>8</v>
      </c>
      <c r="F34" s="9">
        <v>8</v>
      </c>
      <c r="G34" s="9">
        <v>7</v>
      </c>
      <c r="H34" s="9">
        <v>10</v>
      </c>
      <c r="I34" s="11">
        <v>8.1999999999999993</v>
      </c>
      <c r="J34" s="8">
        <v>3.91166666666666</v>
      </c>
      <c r="K34" s="7">
        <v>4.26920903954802</v>
      </c>
      <c r="L34" s="7">
        <v>8.1672686487585207</v>
      </c>
      <c r="M34" s="13"/>
      <c r="N34" s="9" t="s">
        <v>106</v>
      </c>
      <c r="O34" s="9">
        <v>10</v>
      </c>
    </row>
    <row r="35" ht="13.800000000000001" customHeight="1">
      <c r="A35" t="s">
        <v>107</v>
      </c>
      <c r="B35" t="s">
        <v>20</v>
      </c>
      <c r="C35" s="14">
        <v>5</v>
      </c>
      <c r="D35" s="9">
        <v>9</v>
      </c>
      <c r="E35" s="9">
        <v>8</v>
      </c>
      <c r="F35" s="9">
        <v>9</v>
      </c>
      <c r="G35" s="9">
        <v>8</v>
      </c>
      <c r="H35" s="9">
        <v>10</v>
      </c>
      <c r="I35" s="11">
        <v>8.8000000000000007</v>
      </c>
      <c r="J35" s="8">
        <v>7.9957086614173196</v>
      </c>
      <c r="K35" s="7">
        <v>10.3668766404199</v>
      </c>
      <c r="L35" s="7">
        <v>8.3440999999999992</v>
      </c>
      <c r="M35" s="13"/>
      <c r="N35" s="9" t="s">
        <v>108</v>
      </c>
      <c r="O35" s="9">
        <v>9</v>
      </c>
    </row>
    <row r="36" ht="13.800000000000001" customHeight="1">
      <c r="A36" t="s">
        <v>109</v>
      </c>
      <c r="B36" t="s">
        <v>20</v>
      </c>
      <c r="C36" s="14">
        <v>5</v>
      </c>
      <c r="D36" s="9">
        <v>10</v>
      </c>
      <c r="E36" s="9">
        <v>8</v>
      </c>
      <c r="F36" s="9">
        <v>9</v>
      </c>
      <c r="G36" s="9">
        <v>9</v>
      </c>
      <c r="H36" s="9">
        <v>10</v>
      </c>
      <c r="I36" s="11">
        <v>9.1999999999999993</v>
      </c>
      <c r="J36" s="8">
        <v>5.3934880722114702</v>
      </c>
      <c r="K36" s="7">
        <v>5.4224951644100496</v>
      </c>
      <c r="L36" s="7">
        <v>9.0958688834989108</v>
      </c>
      <c r="M36" s="13"/>
      <c r="N36" s="1" t="s">
        <v>110</v>
      </c>
      <c r="O36" s="9">
        <v>7</v>
      </c>
    </row>
    <row r="37" ht="13.800000000000001" customHeight="1">
      <c r="A37" t="s">
        <v>111</v>
      </c>
      <c r="B37" t="s">
        <v>21</v>
      </c>
      <c r="C37" s="14">
        <v>8</v>
      </c>
      <c r="D37" s="9">
        <v>13</v>
      </c>
      <c r="E37" s="9">
        <v>12</v>
      </c>
      <c r="F37" s="9">
        <v>12</v>
      </c>
      <c r="G37" s="9">
        <v>15</v>
      </c>
      <c r="H37" s="9">
        <v>13</v>
      </c>
      <c r="I37" s="9">
        <v>13</v>
      </c>
      <c r="J37" s="8">
        <v>5.9879310344827497</v>
      </c>
      <c r="K37" s="7">
        <v>7.8887356321839004</v>
      </c>
      <c r="L37" s="7">
        <v>6.4273555995556197</v>
      </c>
      <c r="M37" s="13"/>
      <c r="N37" s="9" t="s">
        <v>112</v>
      </c>
      <c r="O37" s="9">
        <v>13</v>
      </c>
    </row>
    <row r="38" ht="13.800000000000001" customHeight="1">
      <c r="A38" t="s">
        <v>113</v>
      </c>
      <c r="B38" t="s">
        <v>21</v>
      </c>
      <c r="C38" s="14">
        <v>8</v>
      </c>
      <c r="D38" s="9">
        <v>11</v>
      </c>
      <c r="E38" s="9">
        <v>16</v>
      </c>
      <c r="F38" s="9">
        <v>13</v>
      </c>
      <c r="G38" s="9">
        <v>12</v>
      </c>
      <c r="H38" s="9">
        <v>12</v>
      </c>
      <c r="I38" s="10">
        <v>12.800000000000001</v>
      </c>
      <c r="J38" s="8">
        <v>4.4299999999999997</v>
      </c>
      <c r="K38" s="7">
        <v>4.7444999999999897</v>
      </c>
      <c r="L38" s="7">
        <v>6.7421579845886699</v>
      </c>
      <c r="M38" s="13"/>
      <c r="N38" s="9" t="s">
        <v>114</v>
      </c>
      <c r="O38" s="9">
        <v>13</v>
      </c>
      <c r="Z38" s="15"/>
    </row>
    <row r="39" ht="13.800000000000001" customHeight="1">
      <c r="A39" t="s">
        <v>115</v>
      </c>
      <c r="B39" t="s">
        <v>21</v>
      </c>
      <c r="C39" s="14">
        <v>8</v>
      </c>
      <c r="D39" s="9">
        <v>11</v>
      </c>
      <c r="E39" s="9">
        <v>13</v>
      </c>
      <c r="F39" s="9">
        <v>12</v>
      </c>
      <c r="G39" s="9">
        <v>15</v>
      </c>
      <c r="H39" s="9">
        <v>11</v>
      </c>
      <c r="I39" s="10">
        <v>12.4</v>
      </c>
      <c r="J39" s="8">
        <v>1.8200000000000001</v>
      </c>
      <c r="K39" s="7">
        <v>2.89546666666666</v>
      </c>
      <c r="L39" s="7">
        <v>5.4613189005322802</v>
      </c>
      <c r="M39" s="13"/>
      <c r="N39" s="9" t="s">
        <v>116</v>
      </c>
      <c r="O39" s="9">
        <v>13</v>
      </c>
    </row>
    <row r="40" ht="13.800000000000001" customHeight="1">
      <c r="A40" t="s">
        <v>117</v>
      </c>
      <c r="B40" t="s">
        <v>21</v>
      </c>
      <c r="C40" s="14">
        <v>8</v>
      </c>
      <c r="D40" s="9">
        <v>12</v>
      </c>
      <c r="E40" s="9">
        <v>13</v>
      </c>
      <c r="F40" s="9">
        <v>11</v>
      </c>
      <c r="G40" s="9">
        <v>12</v>
      </c>
      <c r="H40" s="9">
        <v>13</v>
      </c>
      <c r="I40" s="10">
        <v>12.199999999999999</v>
      </c>
      <c r="J40" s="8">
        <v>4.97472222222222</v>
      </c>
      <c r="K40" s="7">
        <v>4.2383333333333297</v>
      </c>
      <c r="L40" s="7">
        <v>7.1686216300943304</v>
      </c>
      <c r="M40" s="13"/>
      <c r="N40" s="9" t="s">
        <v>118</v>
      </c>
      <c r="O40" s="9">
        <v>13</v>
      </c>
    </row>
    <row r="41" ht="13.800000000000001" customHeight="1">
      <c r="A41" t="s">
        <v>119</v>
      </c>
      <c r="B41" t="s">
        <v>21</v>
      </c>
      <c r="C41" s="5">
        <v>8</v>
      </c>
      <c r="D41" s="9">
        <v>14</v>
      </c>
      <c r="E41" s="9">
        <v>14</v>
      </c>
      <c r="F41" s="9">
        <v>14</v>
      </c>
      <c r="G41" s="9">
        <v>13</v>
      </c>
      <c r="H41" s="9">
        <v>13</v>
      </c>
      <c r="I41" s="10">
        <v>13.6</v>
      </c>
      <c r="J41" s="8">
        <v>5.9635294117647</v>
      </c>
      <c r="K41" s="7">
        <v>7.9879411764705797</v>
      </c>
      <c r="L41" s="7">
        <v>5.9854731373894401</v>
      </c>
      <c r="M41" s="13"/>
      <c r="N41" s="9" t="s">
        <v>120</v>
      </c>
      <c r="O41" s="9">
        <v>12</v>
      </c>
    </row>
    <row r="42" ht="13.800000000000001" customHeight="1">
      <c r="A42" t="s">
        <v>121</v>
      </c>
      <c r="B42" t="s">
        <v>22</v>
      </c>
      <c r="C42" s="5">
        <v>2</v>
      </c>
      <c r="D42" s="9">
        <v>5</v>
      </c>
      <c r="E42" s="9">
        <v>4</v>
      </c>
      <c r="F42" s="9">
        <v>5</v>
      </c>
      <c r="G42" s="9">
        <v>4</v>
      </c>
      <c r="H42" s="9">
        <v>4</v>
      </c>
      <c r="I42" s="11">
        <v>4.4000000000000004</v>
      </c>
      <c r="J42" s="8">
        <v>2.5997402597402499</v>
      </c>
      <c r="K42" s="7">
        <v>4.1645714285714197</v>
      </c>
      <c r="L42" s="7">
        <v>6.8689703186073103</v>
      </c>
      <c r="M42" s="13"/>
      <c r="N42" s="9" t="s">
        <v>122</v>
      </c>
      <c r="O42" s="9">
        <v>4</v>
      </c>
    </row>
    <row r="43" ht="13.800000000000001" customHeight="1">
      <c r="A43" t="s">
        <v>123</v>
      </c>
      <c r="B43" t="s">
        <v>22</v>
      </c>
      <c r="C43" s="5">
        <v>2</v>
      </c>
      <c r="D43" s="9">
        <v>5</v>
      </c>
      <c r="E43" s="9">
        <v>5</v>
      </c>
      <c r="F43" s="9">
        <v>6</v>
      </c>
      <c r="G43" s="9">
        <v>4</v>
      </c>
      <c r="H43" s="9">
        <v>5</v>
      </c>
      <c r="I43" s="9">
        <v>5</v>
      </c>
      <c r="J43" s="8">
        <v>5.2521428571428501</v>
      </c>
      <c r="K43" s="7">
        <v>7.1014285714285696</v>
      </c>
      <c r="L43" s="7">
        <v>10.6863529731377</v>
      </c>
      <c r="M43" s="13"/>
      <c r="N43" s="9" t="s">
        <v>124</v>
      </c>
      <c r="O43" s="9">
        <v>5</v>
      </c>
    </row>
    <row r="44" ht="13.800000000000001" customHeight="1">
      <c r="A44" t="s">
        <v>125</v>
      </c>
      <c r="B44" t="s">
        <v>22</v>
      </c>
      <c r="C44" s="5">
        <v>2</v>
      </c>
      <c r="D44" s="9">
        <v>5</v>
      </c>
      <c r="E44" s="9">
        <v>8</v>
      </c>
      <c r="F44" s="9">
        <v>7</v>
      </c>
      <c r="G44" s="9">
        <v>7</v>
      </c>
      <c r="H44" s="9">
        <v>8</v>
      </c>
      <c r="I44" s="9">
        <v>7</v>
      </c>
      <c r="J44" s="8">
        <v>3.3922268907562998</v>
      </c>
      <c r="K44" s="7">
        <v>4.3910084033613401</v>
      </c>
      <c r="L44" s="7">
        <v>7.95725182031385</v>
      </c>
      <c r="M44" s="13"/>
      <c r="N44" s="9" t="s">
        <v>126</v>
      </c>
      <c r="O44" s="9">
        <v>5</v>
      </c>
    </row>
    <row r="45" ht="13.800000000000001" customHeight="1">
      <c r="A45" t="s">
        <v>127</v>
      </c>
      <c r="B45" t="s">
        <v>22</v>
      </c>
      <c r="C45" s="5">
        <v>2</v>
      </c>
      <c r="D45" s="9">
        <v>4</v>
      </c>
      <c r="E45" s="9">
        <v>8</v>
      </c>
      <c r="F45" s="9">
        <v>5</v>
      </c>
      <c r="G45" s="9">
        <v>6</v>
      </c>
      <c r="H45" s="9">
        <v>4</v>
      </c>
      <c r="I45" s="11">
        <v>5.4000000000000004</v>
      </c>
      <c r="J45" s="8">
        <v>4.6530882352941099</v>
      </c>
      <c r="K45" s="7">
        <v>6.0014705882352901</v>
      </c>
      <c r="L45" s="7">
        <v>8.8418462747788809</v>
      </c>
      <c r="M45" s="13"/>
      <c r="N45" s="9" t="s">
        <v>128</v>
      </c>
      <c r="O45" s="9">
        <v>5</v>
      </c>
    </row>
    <row r="46" ht="13.800000000000001" customHeight="1">
      <c r="A46" t="s">
        <v>129</v>
      </c>
      <c r="B46" t="s">
        <v>22</v>
      </c>
      <c r="C46" s="5">
        <v>2</v>
      </c>
      <c r="D46" s="9">
        <v>6</v>
      </c>
      <c r="E46" s="9">
        <v>7</v>
      </c>
      <c r="F46" s="9">
        <v>9</v>
      </c>
      <c r="G46" s="9">
        <v>9</v>
      </c>
      <c r="H46" s="9">
        <v>8</v>
      </c>
      <c r="I46" s="11">
        <v>7.7999999999999998</v>
      </c>
      <c r="J46" s="8">
        <v>9.3366666666666696</v>
      </c>
      <c r="K46" s="7">
        <v>11.4255</v>
      </c>
      <c r="L46" s="7">
        <v>11.698219412168299</v>
      </c>
      <c r="M46" s="13"/>
      <c r="N46" s="9" t="s">
        <v>130</v>
      </c>
      <c r="O46" s="9">
        <v>8</v>
      </c>
    </row>
    <row r="47" ht="13.800000000000001" customHeight="1">
      <c r="A47" t="s">
        <v>131</v>
      </c>
      <c r="B47" t="s">
        <v>23</v>
      </c>
      <c r="C47" s="5">
        <v>6</v>
      </c>
      <c r="D47" s="9">
        <v>9</v>
      </c>
      <c r="E47" s="9">
        <v>6</v>
      </c>
      <c r="F47" s="9">
        <v>7</v>
      </c>
      <c r="G47" s="9">
        <v>10</v>
      </c>
      <c r="H47" s="9">
        <v>7</v>
      </c>
      <c r="I47" s="11">
        <v>7.7999999999999998</v>
      </c>
      <c r="J47" s="8">
        <v>6.2225641025640996</v>
      </c>
      <c r="K47" s="7">
        <v>6.1366666666666703</v>
      </c>
      <c r="L47" s="7">
        <v>7.7935378010645602</v>
      </c>
      <c r="M47" s="13"/>
      <c r="N47" s="9" t="s">
        <v>132</v>
      </c>
      <c r="O47" s="9">
        <v>10</v>
      </c>
    </row>
    <row r="48" ht="13.800000000000001" customHeight="1">
      <c r="A48" t="s">
        <v>133</v>
      </c>
      <c r="B48" t="s">
        <v>23</v>
      </c>
      <c r="C48" s="5">
        <v>6</v>
      </c>
      <c r="D48" s="9">
        <v>9</v>
      </c>
      <c r="E48" s="9">
        <v>7</v>
      </c>
      <c r="F48" s="9">
        <v>7</v>
      </c>
      <c r="G48" s="9">
        <v>8</v>
      </c>
      <c r="H48" s="9">
        <v>8</v>
      </c>
      <c r="I48" s="11">
        <v>7.7999999999999998</v>
      </c>
      <c r="J48" s="8">
        <v>8.5722009202454004</v>
      </c>
      <c r="K48" s="7">
        <v>9.1867638036809804</v>
      </c>
      <c r="L48" s="7">
        <v>9.51614450430713</v>
      </c>
      <c r="M48" s="13"/>
      <c r="N48" s="9" t="s">
        <v>134</v>
      </c>
      <c r="O48" s="9">
        <v>6</v>
      </c>
    </row>
    <row r="49" ht="13.800000000000001" customHeight="1">
      <c r="A49" t="s">
        <v>135</v>
      </c>
      <c r="B49" t="s">
        <v>23</v>
      </c>
      <c r="C49" s="5">
        <v>6</v>
      </c>
      <c r="D49" s="9">
        <v>9</v>
      </c>
      <c r="E49" s="9">
        <v>8</v>
      </c>
      <c r="F49" s="9">
        <v>5</v>
      </c>
      <c r="G49" s="9">
        <v>8</v>
      </c>
      <c r="H49" s="9">
        <v>6</v>
      </c>
      <c r="I49" s="11">
        <v>7.2000000000000002</v>
      </c>
      <c r="J49" s="8">
        <v>5.3897849462365599</v>
      </c>
      <c r="K49" s="7">
        <v>5.8562275985663099</v>
      </c>
      <c r="L49" s="7">
        <v>7.7935378010645602</v>
      </c>
      <c r="M49" s="13"/>
      <c r="N49" s="9" t="s">
        <v>136</v>
      </c>
      <c r="O49" s="9">
        <v>8</v>
      </c>
    </row>
    <row r="50" ht="13.800000000000001" customHeight="1">
      <c r="A50" t="s">
        <v>137</v>
      </c>
      <c r="B50" t="s">
        <v>23</v>
      </c>
      <c r="C50" s="5">
        <v>6</v>
      </c>
      <c r="D50" s="9">
        <v>10</v>
      </c>
      <c r="E50" s="9">
        <v>7</v>
      </c>
      <c r="F50" s="9">
        <v>7</v>
      </c>
      <c r="G50" s="9">
        <v>5</v>
      </c>
      <c r="H50" s="9">
        <v>7</v>
      </c>
      <c r="I50" s="11">
        <v>7.2000000000000002</v>
      </c>
      <c r="J50" s="8">
        <v>3.15144957983193</v>
      </c>
      <c r="K50" s="7">
        <v>3.1599299719887899</v>
      </c>
      <c r="L50" s="7">
        <v>6.8166618638878402</v>
      </c>
      <c r="M50" s="13"/>
      <c r="N50" s="9" t="s">
        <v>138</v>
      </c>
      <c r="O50" s="9">
        <v>7</v>
      </c>
    </row>
    <row r="51" ht="13.800000000000001" customHeight="1">
      <c r="A51" t="s">
        <v>139</v>
      </c>
      <c r="B51" t="s">
        <v>23</v>
      </c>
      <c r="C51">
        <v>6</v>
      </c>
      <c r="D51" s="9">
        <v>8</v>
      </c>
      <c r="E51" s="9">
        <v>8</v>
      </c>
      <c r="F51" s="9">
        <v>6</v>
      </c>
      <c r="G51" s="9">
        <v>5</v>
      </c>
      <c r="H51" s="9">
        <v>7</v>
      </c>
      <c r="I51" s="11">
        <v>6.7999999999999998</v>
      </c>
      <c r="J51" s="8">
        <v>2.91363636363636</v>
      </c>
      <c r="K51" s="7">
        <v>4.1221323529411702</v>
      </c>
      <c r="L51" s="7">
        <v>5.4613189005322802</v>
      </c>
      <c r="M51" s="13"/>
      <c r="N51" s="9" t="s">
        <v>140</v>
      </c>
      <c r="O51" s="9">
        <v>6</v>
      </c>
    </row>
    <row r="52" ht="13.800000000000001" customHeight="1">
      <c r="A52" t="s">
        <v>141</v>
      </c>
      <c r="B52" t="s">
        <v>24</v>
      </c>
      <c r="C52">
        <v>4</v>
      </c>
      <c r="D52" s="9">
        <v>10</v>
      </c>
      <c r="E52" s="9">
        <v>11</v>
      </c>
      <c r="F52" s="9">
        <v>9</v>
      </c>
      <c r="G52" s="9">
        <v>11</v>
      </c>
      <c r="H52" s="9">
        <v>11</v>
      </c>
      <c r="I52" s="10">
        <v>10.4</v>
      </c>
      <c r="J52" s="8">
        <v>5.6762905027932904</v>
      </c>
      <c r="K52" s="7">
        <v>5.7185102420856602</v>
      </c>
      <c r="L52" s="7">
        <v>9.0291989822205494</v>
      </c>
      <c r="M52" s="13"/>
      <c r="N52" s="9" t="s">
        <v>142</v>
      </c>
      <c r="O52" s="9">
        <v>10</v>
      </c>
    </row>
    <row r="53" ht="13.800000000000001" customHeight="1">
      <c r="A53" t="s">
        <v>143</v>
      </c>
      <c r="B53" t="s">
        <v>24</v>
      </c>
      <c r="C53">
        <v>4</v>
      </c>
      <c r="D53" s="9">
        <v>6</v>
      </c>
      <c r="E53" s="9">
        <v>6</v>
      </c>
      <c r="F53" s="9">
        <v>4</v>
      </c>
      <c r="G53" s="9">
        <v>5</v>
      </c>
      <c r="H53" s="9">
        <v>5</v>
      </c>
      <c r="I53" s="11">
        <v>5.2000000000000002</v>
      </c>
      <c r="J53" s="8">
        <v>2.7355555555555502</v>
      </c>
      <c r="K53" s="7">
        <v>3.2706666666666599</v>
      </c>
      <c r="L53" s="7">
        <v>5.68391780172285</v>
      </c>
      <c r="M53" s="13"/>
      <c r="N53" s="9" t="s">
        <v>144</v>
      </c>
      <c r="O53" s="9">
        <v>4</v>
      </c>
    </row>
    <row r="54" ht="13.800000000000001" customHeight="1">
      <c r="A54" t="s">
        <v>145</v>
      </c>
      <c r="B54" t="s">
        <v>24</v>
      </c>
      <c r="C54">
        <v>4</v>
      </c>
      <c r="D54" s="9">
        <v>8</v>
      </c>
      <c r="E54" s="9">
        <v>5</v>
      </c>
      <c r="F54" s="9">
        <v>5</v>
      </c>
      <c r="G54" s="9">
        <v>6</v>
      </c>
      <c r="H54" s="9">
        <v>5</v>
      </c>
      <c r="I54" s="11">
        <v>5.7999999999999998</v>
      </c>
      <c r="J54" s="8">
        <v>5.71643198906356</v>
      </c>
      <c r="K54" s="7">
        <v>5.1907177033492804</v>
      </c>
      <c r="L54" s="7">
        <v>8.2964734316205693</v>
      </c>
      <c r="M54" s="13"/>
      <c r="N54" s="9" t="s">
        <v>146</v>
      </c>
      <c r="O54" s="9">
        <v>5</v>
      </c>
    </row>
    <row r="55" ht="13.800000000000001" customHeight="1">
      <c r="A55" t="s">
        <v>147</v>
      </c>
      <c r="B55" t="s">
        <v>24</v>
      </c>
      <c r="C55">
        <v>4</v>
      </c>
      <c r="D55" s="9">
        <v>7</v>
      </c>
      <c r="E55" s="9">
        <v>6</v>
      </c>
      <c r="F55" s="9">
        <v>6</v>
      </c>
      <c r="G55" s="9">
        <v>7</v>
      </c>
      <c r="H55" s="9">
        <v>5</v>
      </c>
      <c r="I55" s="11">
        <v>6.2000000000000002</v>
      </c>
      <c r="J55" s="8">
        <v>3.2607752808988799</v>
      </c>
      <c r="K55" s="7">
        <v>3.2359550561797699</v>
      </c>
      <c r="L55" s="7">
        <v>6.7421579845886699</v>
      </c>
      <c r="M55" s="13"/>
      <c r="N55" s="1" t="s">
        <v>148</v>
      </c>
      <c r="O55" s="9">
        <v>8</v>
      </c>
    </row>
    <row r="56" ht="13.800000000000001" customHeight="1">
      <c r="A56" t="s">
        <v>149</v>
      </c>
      <c r="B56" t="s">
        <v>24</v>
      </c>
      <c r="C56">
        <v>4</v>
      </c>
      <c r="D56" s="9">
        <v>8</v>
      </c>
      <c r="E56" s="9">
        <v>6</v>
      </c>
      <c r="F56" s="9">
        <v>8</v>
      </c>
      <c r="G56" s="9">
        <v>8</v>
      </c>
      <c r="H56" s="9">
        <v>8</v>
      </c>
      <c r="I56" s="11">
        <v>7.5999999999999996</v>
      </c>
      <c r="J56" s="8">
        <v>2.5078504672897202</v>
      </c>
      <c r="K56" s="7">
        <v>2.7579079798705899</v>
      </c>
      <c r="L56" s="7">
        <v>6.2979614796047896</v>
      </c>
      <c r="M56" s="13"/>
      <c r="N56" s="1" t="s">
        <v>150</v>
      </c>
      <c r="O56" s="9">
        <v>8</v>
      </c>
    </row>
    <row r="57" ht="13.800000000000001" customHeight="1">
      <c r="A57" t="s">
        <v>151</v>
      </c>
      <c r="B57" t="s">
        <v>25</v>
      </c>
      <c r="C57">
        <v>6</v>
      </c>
      <c r="D57" s="9">
        <v>10</v>
      </c>
      <c r="E57" s="9">
        <v>11</v>
      </c>
      <c r="F57" s="9">
        <v>9</v>
      </c>
      <c r="G57" s="9">
        <v>10</v>
      </c>
      <c r="H57" s="9">
        <v>12</v>
      </c>
      <c r="I57" s="10">
        <v>10.4</v>
      </c>
      <c r="J57" s="8">
        <v>5.3736172566371696</v>
      </c>
      <c r="K57" s="7">
        <v>4.9518362831858402</v>
      </c>
      <c r="L57" s="7">
        <v>8.2784999043577798</v>
      </c>
      <c r="M57" s="13"/>
      <c r="N57" s="9" t="s">
        <v>152</v>
      </c>
      <c r="O57" s="9">
        <v>9</v>
      </c>
    </row>
    <row r="58" ht="13.800000000000001" customHeight="1">
      <c r="A58" t="s">
        <v>153</v>
      </c>
      <c r="B58" t="s">
        <v>25</v>
      </c>
      <c r="C58">
        <v>6</v>
      </c>
      <c r="D58" s="9">
        <v>8</v>
      </c>
      <c r="E58" s="9">
        <v>8</v>
      </c>
      <c r="F58" s="9">
        <v>9</v>
      </c>
      <c r="G58" s="9">
        <v>10</v>
      </c>
      <c r="H58" s="9">
        <v>8</v>
      </c>
      <c r="I58" s="11">
        <v>8.5999999999999996</v>
      </c>
      <c r="J58" s="8">
        <v>6.4244573643410803</v>
      </c>
      <c r="K58" s="7">
        <v>7.75837209302325</v>
      </c>
      <c r="L58" s="7">
        <v>5.4613189005322802</v>
      </c>
      <c r="M58" s="13"/>
      <c r="N58" s="9" t="s">
        <v>154</v>
      </c>
      <c r="O58" s="9">
        <v>9</v>
      </c>
    </row>
    <row r="59" ht="13.800000000000001" customHeight="1">
      <c r="A59" t="s">
        <v>155</v>
      </c>
      <c r="B59" t="s">
        <v>25</v>
      </c>
      <c r="C59">
        <v>6</v>
      </c>
      <c r="D59" s="9">
        <v>11</v>
      </c>
      <c r="E59" s="9">
        <v>10</v>
      </c>
      <c r="F59" s="9">
        <v>10</v>
      </c>
      <c r="G59" s="9">
        <v>10</v>
      </c>
      <c r="H59" s="9">
        <v>11</v>
      </c>
      <c r="I59" s="10">
        <v>10.4</v>
      </c>
      <c r="J59" s="8">
        <v>10.1853571428571</v>
      </c>
      <c r="K59" s="7">
        <v>11.9146428571428</v>
      </c>
      <c r="L59" s="7">
        <v>10.125756701596799</v>
      </c>
      <c r="M59" s="13"/>
      <c r="N59" s="9" t="s">
        <v>156</v>
      </c>
      <c r="O59" s="9">
        <v>10</v>
      </c>
    </row>
    <row r="60" ht="13.800000000000001" customHeight="1">
      <c r="A60" t="s">
        <v>157</v>
      </c>
      <c r="B60" t="s">
        <v>25</v>
      </c>
      <c r="C60">
        <v>6</v>
      </c>
      <c r="D60" s="9">
        <v>10</v>
      </c>
      <c r="E60" s="9">
        <v>8</v>
      </c>
      <c r="F60" s="9">
        <v>9</v>
      </c>
      <c r="G60" s="9">
        <v>9</v>
      </c>
      <c r="H60" s="9">
        <v>10</v>
      </c>
      <c r="I60" s="11">
        <v>9.1999999999999993</v>
      </c>
      <c r="J60" s="8">
        <v>7.2956250000000002</v>
      </c>
      <c r="K60" s="7">
        <v>8.3710416666666596</v>
      </c>
      <c r="L60" s="7">
        <v>6.9375975165192498</v>
      </c>
      <c r="M60" s="13"/>
      <c r="N60" s="9" t="s">
        <v>158</v>
      </c>
      <c r="O60" s="9">
        <v>9</v>
      </c>
    </row>
    <row r="61" ht="13.800000000000001" customHeight="1">
      <c r="A61" t="s">
        <v>159</v>
      </c>
      <c r="B61" t="s">
        <v>25</v>
      </c>
      <c r="C61">
        <v>6</v>
      </c>
      <c r="D61" s="9">
        <v>8</v>
      </c>
      <c r="E61" s="9">
        <v>10</v>
      </c>
      <c r="F61" s="9">
        <v>10</v>
      </c>
      <c r="G61" s="9">
        <v>10</v>
      </c>
      <c r="H61" s="9">
        <v>9</v>
      </c>
      <c r="I61" s="11">
        <v>9.4000000000000004</v>
      </c>
      <c r="J61" s="8">
        <v>7.9573357664233502</v>
      </c>
      <c r="K61" s="7">
        <v>10.029951338199499</v>
      </c>
      <c r="L61" s="7">
        <v>7.1686216300943304</v>
      </c>
      <c r="M61" s="13"/>
      <c r="N61" s="9" t="s">
        <v>160</v>
      </c>
      <c r="O61" s="9">
        <v>10</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ONLYOFFICE/9.1.0.173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5</cp:revision>
  <dcterms:created xsi:type="dcterms:W3CDTF">2025-10-28T13:00:04Z</dcterms:created>
  <dcterms:modified xsi:type="dcterms:W3CDTF">2025-11-03T20:28:37Z</dcterms:modified>
</cp:coreProperties>
</file>